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topa_academy_edisk\GA_site\"/>
    </mc:Choice>
  </mc:AlternateContent>
  <xr:revisionPtr revIDLastSave="0" documentId="13_ncr:1_{F84D94DF-D5C1-49BC-AA41-4C651A11F8AF}" xr6:coauthVersionLast="47" xr6:coauthVersionMax="47" xr10:uidLastSave="{00000000-0000-0000-0000-000000000000}"/>
  <bookViews>
    <workbookView xWindow="-120" yWindow="-120" windowWidth="29040" windowHeight="15720" activeTab="1" xr2:uid="{0CBDBB15-7416-4EAD-8BF1-B59EF6884D97}"/>
  </bookViews>
  <sheets>
    <sheet name="Анхан шат" sheetId="3" r:id="rId1"/>
    <sheet name="Дунд шат" sheetId="2" r:id="rId2"/>
    <sheet name="Ахисан шат" sheetId="5" r:id="rId3"/>
    <sheet name="Хассан" sheetId="4" state="hidden" r:id="rId4"/>
    <sheet name=" Ахисан шат" sheetId="1" state="hidden" r:id="rId5"/>
  </sheets>
  <definedNames>
    <definedName name="_xlnm._FilterDatabase" localSheetId="4" hidden="1">' Ахисан шат'!$A$1:$W$1</definedName>
    <definedName name="_xlnm._FilterDatabase" localSheetId="0" hidden="1">'Анхан шат'!$A$1:$X$1</definedName>
    <definedName name="_xlnm._FilterDatabase" localSheetId="2" hidden="1">'Ахисан шат'!$A$1:$AC$82</definedName>
    <definedName name="_xlnm._FilterDatabase" localSheetId="1" hidden="1">'Дунд шат'!$A$1:$X$1</definedName>
    <definedName name="_xlnm._FilterDatabase" localSheetId="3" hidden="1">Хассан!$A$1:$E$1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F82" i="5" l="1"/>
  <c r="R79" i="5"/>
  <c r="L79" i="5"/>
  <c r="F79" i="5"/>
  <c r="R78" i="5"/>
  <c r="L78" i="5"/>
  <c r="F78" i="5"/>
  <c r="L80" i="5" l="1"/>
  <c r="R80" i="5"/>
  <c r="A5" i="3" l="1"/>
  <c r="A6" i="3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3" i="3"/>
  <c r="A17" i="4"/>
  <c r="A18" i="4"/>
  <c r="A19" i="4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17" i="2"/>
  <c r="A18" i="2"/>
  <c r="A19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" i="2"/>
  <c r="A3" i="4"/>
  <c r="A4" i="4" s="1"/>
  <c r="A5" i="4" s="1"/>
  <c r="A6" i="4" s="1"/>
  <c r="A7" i="4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3" i="1" l="1"/>
  <c r="A4" i="1" s="1"/>
  <c r="A4" i="3"/>
  <c r="A8" i="4"/>
  <c r="A9" i="4" s="1"/>
  <c r="A10" i="4" s="1"/>
  <c r="A11" i="4" s="1"/>
  <c r="A12" i="4" s="1"/>
  <c r="A13" i="4" s="1"/>
  <c r="A14" i="4" s="1"/>
  <c r="A15" i="4" s="1"/>
  <c r="A16" i="4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2" authorId="0" shapeId="0" xr:uid="{F449BF56-41C5-4F97-812A-B94D1FAA35E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2025.12.16-нд 125000  шилжүүлсэн.</t>
        </r>
      </text>
    </comment>
    <comment ref="G20" authorId="0" shapeId="0" xr:uid="{5716B475-DA84-494A-A8DE-6D3DBEA7024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2025.12.8-200000, 2025.12.15-200000</t>
        </r>
      </text>
    </comment>
    <comment ref="G21" authorId="0" shapeId="0" xr:uid="{FDABC27A-F3F7-44CA-8E86-51D3E7A7E33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130000 бэлэн, 120000 данс</t>
        </r>
      </text>
    </comment>
    <comment ref="G26" authorId="0" shapeId="0" xr:uid="{23B004AE-D904-4FBE-B4CE-E451CBB2FB2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2025.12.08-200000, 2025.12.15-200000</t>
        </r>
      </text>
    </comment>
    <comment ref="G36" authorId="0" shapeId="0" xr:uid="{55DF3EE2-9ECA-4BBC-A3EA-664DCC9AEE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Ээж Б.Эрдэнэ хамт сурдаг ба 2025/11/30-нд 500000 төгрөг хамт төлсөн. </t>
        </r>
      </text>
    </comment>
    <comment ref="G39" authorId="0" shapeId="0" xr:uid="{F1BAE3D0-28F4-47F5-8D29-06BA91ECB47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М.Алтанцэцэг гэдэг хүнээс төлсөн байна.</t>
        </r>
      </text>
    </comment>
    <comment ref="G41" authorId="0" shapeId="0" xr:uid="{C4196451-D5F7-48E9-A4F8-C0611681D0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 сард байгууллагаас , 1 сараас өөрөө төлөх юм байна.</t>
        </r>
      </text>
    </comment>
    <comment ref="G46" authorId="0" shapeId="0" xr:uid="{9B2B4DAF-E6AE-4688-9CCB-A886E52977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2025.12.8-140000, 2025.12.15-110000 бэлэн өгсөн.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3" authorId="0" shapeId="0" xr:uid="{EC263F4A-C9E5-4C63-9EAA-1CED3C16688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50000 төгрөг илүү төлсөн.</t>
        </r>
      </text>
    </comment>
    <comment ref="G12" authorId="0" shapeId="0" xr:uid="{751183B1-177A-49B7-A595-E02FFC6D55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Ээж Мөнхцэцэг нь 2025/12/8-ны өдөр 400000 төгрөг шилжүүлсэн байна.</t>
        </r>
      </text>
    </comment>
    <comment ref="G15" authorId="0" shapeId="0" xr:uid="{E688CB3C-D85A-4F93-8868-E929C2639E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50000 төгрөг илүү төлсөн</t>
        </r>
      </text>
    </comment>
    <comment ref="G18" authorId="0" shapeId="0" xr:uid="{E1381D2D-5A9F-4DE9-933C-F6C2FAA0AA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Эхнэр Мөнхтуяа 400000 төгрөг хамтад төлсөн.</t>
        </r>
      </text>
    </comment>
    <comment ref="G22" authorId="0" shapeId="0" xr:uid="{FC7323CF-AF6D-40F5-99AF-EC2489AAC3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50000 төгрөг илүү төлсөн.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7" authorId="0" shapeId="0" xr:uid="{3C920701-AB9E-44F2-836F-36C9A7AFCDBF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Tahoma"/>
            <family val="2"/>
          </rPr>
          <t>70000 төгрөг шилжүүлсэн байна.</t>
        </r>
      </text>
    </comment>
    <comment ref="F45" authorId="0" shapeId="0" xr:uid="{B200762B-CACF-4BDF-9064-EBCE69DC98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 сард хамт төлсөн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5" authorId="0" shapeId="0" xr:uid="{003C78A3-0D2F-4140-AE67-747BA311E90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Эхнэр Чинсайханы хамт 2025/9/3 өдөр 400000 төгрөг төлсөн.</t>
        </r>
      </text>
    </comment>
    <comment ref="L15" authorId="0" shapeId="0" xr:uid="{43D8E421-C29F-450D-94AE-163942ECF55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Эхнэр Чинсайханы хамт сурдаг. 
2025/11/6-нд 400000 төгрөгийг Голомт банк дансанд төлсөн.</t>
        </r>
      </text>
    </comment>
    <comment ref="R15" authorId="0" shapeId="0" xr:uid="{23445E14-6B34-4C38-B48A-B402747F30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Эхнэр Чинсайханы хамт сурдаг. 2025/11/24-нд 400000 төгрөг хамт төлсөн.</t>
        </r>
      </text>
    </comment>
    <comment ref="R16" authorId="0" shapeId="0" xr:uid="{D76C77CF-4C96-4FB9-BC0C-828D9D20379B}">
      <text>
        <r>
          <rPr>
            <b/>
            <sz val="9"/>
            <color indexed="81"/>
            <rFont val="Tahoma"/>
            <family val="2"/>
          </rPr>
          <t xml:space="preserve">Admin
</t>
        </r>
        <r>
          <rPr>
            <sz val="9"/>
            <color indexed="81"/>
            <rFont val="Tahoma"/>
            <family val="2"/>
          </rPr>
          <t>10 сарын дутуу 110000 төгрөг нэмж төлсөн.</t>
        </r>
      </text>
    </comment>
  </commentList>
</comments>
</file>

<file path=xl/sharedStrings.xml><?xml version="1.0" encoding="utf-8"?>
<sst xmlns="http://schemas.openxmlformats.org/spreadsheetml/2006/main" count="1491" uniqueCount="344">
  <si>
    <t>№</t>
  </si>
  <si>
    <t>Овог нэр</t>
  </si>
  <si>
    <t>Утас</t>
  </si>
  <si>
    <t>А.Дэмид</t>
  </si>
  <si>
    <t>Дунд</t>
  </si>
  <si>
    <t>Г.Галбадрах</t>
  </si>
  <si>
    <t>Н.Оюунзул</t>
  </si>
  <si>
    <t>Э.Эрдэнэцэцэг</t>
  </si>
  <si>
    <t>Д.Сайнбилэг</t>
  </si>
  <si>
    <t>Б.Баянжаргал</t>
  </si>
  <si>
    <t>В.Батжаргал</t>
  </si>
  <si>
    <t>Л.Дөлгөөн</t>
  </si>
  <si>
    <t>Х.Наранжаргал</t>
  </si>
  <si>
    <t>Ж.Алтантуяа</t>
  </si>
  <si>
    <t>Ц.Туяамандах</t>
  </si>
  <si>
    <t>М.Халиун</t>
  </si>
  <si>
    <t>Д.Даваасүрэн</t>
  </si>
  <si>
    <t>Ч.Баасансүрэн</t>
  </si>
  <si>
    <t>Ж.Далайжаргал</t>
  </si>
  <si>
    <t>Ж.Дашхүү</t>
  </si>
  <si>
    <t>Б.Ганхүлэг</t>
  </si>
  <si>
    <t>Б.Цогнэмэх</t>
  </si>
  <si>
    <t>Д.Саруулжавхлан</t>
  </si>
  <si>
    <t>А.Ариунаа</t>
  </si>
  <si>
    <t>Г.Мөнгөнчимэг</t>
  </si>
  <si>
    <t>Холбогдох утас</t>
  </si>
  <si>
    <t>Нандин-Эрдэнэ</t>
  </si>
  <si>
    <t>Бясалгалын түвшин (анхан)</t>
  </si>
  <si>
    <t>Д.Чинсайхан</t>
  </si>
  <si>
    <t>Б.Вандандулам</t>
  </si>
  <si>
    <t>А.Одончимэг</t>
  </si>
  <si>
    <t>Б.Хоролсүрэн</t>
  </si>
  <si>
    <t>Сургалтын шат ( дунд)</t>
  </si>
  <si>
    <t>Д/д</t>
  </si>
  <si>
    <t>Тайлбар</t>
  </si>
  <si>
    <t>Төлсөн</t>
  </si>
  <si>
    <t>Дутуу төлсөн</t>
  </si>
  <si>
    <t>М.Оргилмаа</t>
  </si>
  <si>
    <t>Б.Доржсамбуу</t>
  </si>
  <si>
    <t>Огноо</t>
  </si>
  <si>
    <t>Данс</t>
  </si>
  <si>
    <t>Бэлэн</t>
  </si>
  <si>
    <t>Данс бэлэн</t>
  </si>
  <si>
    <t>Төлсөн данс</t>
  </si>
  <si>
    <t>Банк</t>
  </si>
  <si>
    <t>Голомт</t>
  </si>
  <si>
    <t>Төлбөрийн хэлбэр</t>
  </si>
  <si>
    <t>Дүн</t>
  </si>
  <si>
    <t>Сургалтын шат (анхан, дунд, ахисан)</t>
  </si>
  <si>
    <t>Төлбөр (₮)</t>
  </si>
  <si>
    <t>Төлбөр төлсөн огноо</t>
  </si>
  <si>
    <t>Төлбөрийн хэлбэр (бэлэн, гүйлгээ, )</t>
  </si>
  <si>
    <t>Ахисан</t>
  </si>
  <si>
    <t>Отгонсугар</t>
  </si>
  <si>
    <t>Төлбөрийн дүн</t>
  </si>
  <si>
    <t>Ганболд.Э</t>
  </si>
  <si>
    <t>Энхтунгалаг.М</t>
  </si>
  <si>
    <t>Тэмүүлэн.У</t>
  </si>
  <si>
    <t>Эрдэнэ.Б</t>
  </si>
  <si>
    <t>Тунгалагмөрөн</t>
  </si>
  <si>
    <t>Алтанцацрал.Ц</t>
  </si>
  <si>
    <t>Баясгалан.Г</t>
  </si>
  <si>
    <t>Алтантуяа.Т</t>
  </si>
  <si>
    <t>Хүрэлболд.Ч</t>
  </si>
  <si>
    <t>Цэндбаяр.Х</t>
  </si>
  <si>
    <t>Баярзаяа.Ж</t>
  </si>
  <si>
    <t>Мандахай.О</t>
  </si>
  <si>
    <t>Амарсанаа.М</t>
  </si>
  <si>
    <t>Одонтуяа.Ц</t>
  </si>
  <si>
    <t>Оюунгуа.П</t>
  </si>
  <si>
    <t>Оюунбадрах.Л</t>
  </si>
  <si>
    <t>Мягмардулам.Р</t>
  </si>
  <si>
    <t>Сүхбат.Д</t>
  </si>
  <si>
    <t>Хандсүрэн.Л</t>
  </si>
  <si>
    <t>Золжаргал.М</t>
  </si>
  <si>
    <t>Ерөөлт.Б</t>
  </si>
  <si>
    <t>Нэмүүлэн.О</t>
  </si>
  <si>
    <t>Ягаан.Ц</t>
  </si>
  <si>
    <t>Цогзолмаа.Д</t>
  </si>
  <si>
    <t>Ариунцэцэг.Г</t>
  </si>
  <si>
    <t>Давааням.О</t>
  </si>
  <si>
    <t>Саруул.Д</t>
  </si>
  <si>
    <t>Билгүүн.У</t>
  </si>
  <si>
    <t>Отгонтуул.Ж</t>
  </si>
  <si>
    <t>Энхтуяа.Б</t>
  </si>
  <si>
    <t>Гансэрээтэр.Ч</t>
  </si>
  <si>
    <t>Анхан шат</t>
  </si>
  <si>
    <t>Anna Svet Svet</t>
  </si>
  <si>
    <t>Sunny Gdd</t>
  </si>
  <si>
    <t>Ariuntsetseg Gantumur</t>
  </si>
  <si>
    <t>Bayarka Benie</t>
  </si>
  <si>
    <t>Baysgalan Gal</t>
  </si>
  <si>
    <t>Bilguun Urtnasan</t>
  </si>
  <si>
    <t>Byambaa Enkh</t>
  </si>
  <si>
    <t>Davaanyam Tse</t>
  </si>
  <si>
    <t>О.Давааням</t>
  </si>
  <si>
    <t>О.Нэмүүлэн</t>
  </si>
  <si>
    <t>Д.Саруул</t>
  </si>
  <si>
    <t>Л.Хандсүрэн</t>
  </si>
  <si>
    <t>Enhtungalag Misha</t>
  </si>
  <si>
    <t>Ganbold Erdenebileg</t>
  </si>
  <si>
    <t>Gansereeter Ganaa</t>
  </si>
  <si>
    <t>Ерөөлт Еөк</t>
  </si>
  <si>
    <t>М.Амарсанаа</t>
  </si>
  <si>
    <t>Отгонтуул Жигжсүрэн</t>
  </si>
  <si>
    <t>Ц.Одноо</t>
  </si>
  <si>
    <t>Myagmardulam Radnaakhuu</t>
  </si>
  <si>
    <t>Oyungua Petr</t>
  </si>
  <si>
    <t>Lojoo Oyunbadrakh</t>
  </si>
  <si>
    <t>Хажидсүрэн Цэндбаяр</t>
  </si>
  <si>
    <t>Cleo Cleo</t>
  </si>
  <si>
    <t>Temuulen Uranbileg</t>
  </si>
  <si>
    <t>2026-1 сар</t>
  </si>
  <si>
    <t xml:space="preserve"> 2025-12 сар</t>
  </si>
  <si>
    <t>2026-2 сар</t>
  </si>
  <si>
    <t>Гантөмөр.Б</t>
  </si>
  <si>
    <t>Энхээ.Г</t>
  </si>
  <si>
    <t>Ариунзаяа.Б</t>
  </si>
  <si>
    <t>Аззаяа.Ч</t>
  </si>
  <si>
    <t>Солонго.В</t>
  </si>
  <si>
    <t>Буджав.Ш</t>
  </si>
  <si>
    <t>Бямбачулуун.Б</t>
  </si>
  <si>
    <t>Алтанцэцэг.М</t>
  </si>
  <si>
    <t>Цэнд-Аюуш.П</t>
  </si>
  <si>
    <t>Чинсарнай.М</t>
  </si>
  <si>
    <t>Итгэлмаа.Д</t>
  </si>
  <si>
    <t>Оюунмаа.Р</t>
  </si>
  <si>
    <t>Ганцоож.Д</t>
  </si>
  <si>
    <t>Мөнхцэцэг.Ш</t>
  </si>
  <si>
    <t>Болор-Эрдэнэ.С</t>
  </si>
  <si>
    <t>Бадамсүрэн.Ж</t>
  </si>
  <si>
    <t>Алтанцогт.Ч</t>
  </si>
  <si>
    <t>Энхцэцэг.С</t>
  </si>
  <si>
    <t>Ууганбаяр.Т</t>
  </si>
  <si>
    <t>Одонбаатар.Б</t>
  </si>
  <si>
    <t>Цэрэнпил.Н</t>
  </si>
  <si>
    <t>Баярмаа.Б</t>
  </si>
  <si>
    <t>Оюунчимэг.Б</t>
  </si>
  <si>
    <t>Билэгжаргал.Б</t>
  </si>
  <si>
    <t>Оюун.Д</t>
  </si>
  <si>
    <t>Оюун-Эрдэнэ.Д</t>
  </si>
  <si>
    <t>Шинэгэрэл.Ж</t>
  </si>
  <si>
    <t>Гүндэгмаа.С</t>
  </si>
  <si>
    <t>Мөнхбаяр.Ш</t>
  </si>
  <si>
    <t>Түмэнжаргал.П</t>
  </si>
  <si>
    <t>Хишигсүрэн.В</t>
  </si>
  <si>
    <t>Мөнхтуяа.М</t>
  </si>
  <si>
    <t>Дэлгэрмаа.Л</t>
  </si>
  <si>
    <t>Баянбилэг.Ц</t>
  </si>
  <si>
    <t>Уянга.Э</t>
  </si>
  <si>
    <t>Энгүүн.Т</t>
  </si>
  <si>
    <t>Баасанжаргал.Л</t>
  </si>
  <si>
    <t>Тогтуунжаргал.Ж</t>
  </si>
  <si>
    <t>Манлайсүрэн.Ж</t>
  </si>
  <si>
    <t>Эрдэнэцэцэг.Г</t>
  </si>
  <si>
    <t>Золзаяа.Ж</t>
  </si>
  <si>
    <t>Золжаргал.С</t>
  </si>
  <si>
    <t>Уянга.Н</t>
  </si>
  <si>
    <t>Дагвасүрэн.Н</t>
  </si>
  <si>
    <t>Болдбаяр.Б</t>
  </si>
  <si>
    <t>Батчимэг.Б</t>
  </si>
  <si>
    <t>Маралгоо.Б</t>
  </si>
  <si>
    <t>Баяндэлгэр.Ц</t>
  </si>
  <si>
    <t>Уянгаа.А</t>
  </si>
  <si>
    <t>Солонго.Д</t>
  </si>
  <si>
    <t>Баярмаа.Н</t>
  </si>
  <si>
    <t>Удвалцэцэг.А</t>
  </si>
  <si>
    <t>Их багш мэдэгдэн туршилтаар суусан 1 өдөр суусан.</t>
  </si>
  <si>
    <t>Ариунтуяа.Н</t>
  </si>
  <si>
    <t>Дашпилмаа.Д</t>
  </si>
  <si>
    <t>Ууганзаяа.С</t>
  </si>
  <si>
    <t>Золзаяа.М</t>
  </si>
  <si>
    <t>Алтаннамар.С</t>
  </si>
  <si>
    <t>Пүрэвсүрэн.Ж</t>
  </si>
  <si>
    <t>Гантөгс.О</t>
  </si>
  <si>
    <t>Gantogs Ochirbat</t>
  </si>
  <si>
    <t>Ууганзаяа Сүхбаатар</t>
  </si>
  <si>
    <t>Mika Dash</t>
  </si>
  <si>
    <t>Altannamar Saandar</t>
  </si>
  <si>
    <t>Zolzaya Masherdene</t>
  </si>
  <si>
    <t>Erdene Bavuudorj</t>
  </si>
  <si>
    <t>Наранбат Ариунтуяа</t>
  </si>
  <si>
    <t>Khurelbold Chuluunbat</t>
  </si>
  <si>
    <t>Төгсжаргал.И</t>
  </si>
  <si>
    <t>Imen Tugsjargal</t>
  </si>
  <si>
    <t>Tungalagmurun Baatarsuren</t>
  </si>
  <si>
    <t>Luba PJ</t>
  </si>
  <si>
    <t>Ц.Ягаан</t>
  </si>
  <si>
    <t>Altantuya Terbish</t>
  </si>
  <si>
    <t>Facebook хаяг</t>
  </si>
  <si>
    <t>Kali Tumenjargal</t>
  </si>
  <si>
    <t>Ma Dhyan Alokita</t>
  </si>
  <si>
    <t>Badamsuren Jiglii</t>
  </si>
  <si>
    <t>Bayarmaa Nergui</t>
  </si>
  <si>
    <t>Chinsarnai Cne</t>
  </si>
  <si>
    <t>Gantumur Bold</t>
  </si>
  <si>
    <t>Itgelmaa Dugersuren</t>
  </si>
  <si>
    <t>Odonbaatar Boldbaatar</t>
  </si>
  <si>
    <t>Sh Monhtsetseg</t>
  </si>
  <si>
    <t>Tserenpil Nuudel</t>
  </si>
  <si>
    <t>Uuganbayar Tumur</t>
  </si>
  <si>
    <t>Б.Бямбачулуун</t>
  </si>
  <si>
    <t>Батбазар Оюунчимэг</t>
  </si>
  <si>
    <t>Вандан-очир Солонго</t>
  </si>
  <si>
    <t>Гүндэгмаа Сүхээ</t>
  </si>
  <si>
    <t>Мөнхтуяа Магван</t>
  </si>
  <si>
    <t>Нандиа М.</t>
  </si>
  <si>
    <t>Оюунмаа Омоо Р.</t>
  </si>
  <si>
    <t>Пүрэвийн Цэнд-Аюуш</t>
  </si>
  <si>
    <t>Sh Gerel</t>
  </si>
  <si>
    <t>Сүрэнхорлоо Энхцэцэг</t>
  </si>
  <si>
    <t>Enya Bloom</t>
  </si>
  <si>
    <t>Bolor Agnista</t>
  </si>
  <si>
    <t>Bvjin Bujin</t>
  </si>
  <si>
    <t>Mnk Hbr</t>
  </si>
  <si>
    <t>Altaa Mc</t>
  </si>
  <si>
    <t>Oogii Dovdon</t>
  </si>
  <si>
    <t>Jargal Jargal</t>
  </si>
  <si>
    <t>Jambaldorj Zolo</t>
  </si>
  <si>
    <t>Naidan Dagvaa</t>
  </si>
  <si>
    <t>Bold Bold</t>
  </si>
  <si>
    <t>Tsogoo Tsogt</t>
  </si>
  <si>
    <t>Б.Билэгжаргал</t>
  </si>
  <si>
    <t>Jiigee Manlai</t>
  </si>
  <si>
    <t>Tuvshin Enguun</t>
  </si>
  <si>
    <t>Arch Uyangaa</t>
  </si>
  <si>
    <t>Ганаа Мастер</t>
  </si>
  <si>
    <t>Uilst Munkh</t>
  </si>
  <si>
    <t>Togi Togi</t>
  </si>
  <si>
    <t>Zaya Aya</t>
  </si>
  <si>
    <t>Uyanga Fad</t>
  </si>
  <si>
    <t>Lhamsuren Delgermaa</t>
  </si>
  <si>
    <t>Баасанжаргал</t>
  </si>
  <si>
    <t>Lucy Lucy Luckly</t>
  </si>
  <si>
    <t>Хассан</t>
  </si>
  <si>
    <t>Ynjka Ynjka</t>
  </si>
  <si>
    <t>Баярхүү Ганхуяг</t>
  </si>
  <si>
    <t>Amgalan Amartuvshin</t>
  </si>
  <si>
    <t>OG Buddhaa</t>
  </si>
  <si>
    <t>Altantsatsral Tserenbaatar</t>
  </si>
  <si>
    <t>Баясгалан.Д</t>
  </si>
  <si>
    <t>Орхонтуяа</t>
  </si>
  <si>
    <t>Дуламсүрэн.Я</t>
  </si>
  <si>
    <t>Чанцалхорол.Э</t>
  </si>
  <si>
    <t>Баясгалан Дэмбэрэл</t>
  </si>
  <si>
    <t>Duk Duk</t>
  </si>
  <si>
    <t>2025/12/15-нд ярьсан. Дунд суухгүй гэсэн</t>
  </si>
  <si>
    <t>Энхбилэг.Э</t>
  </si>
  <si>
    <t>Bilegee Tseveen</t>
  </si>
  <si>
    <t>Enkhuulei Enkh</t>
  </si>
  <si>
    <t>2025-12 сар</t>
  </si>
  <si>
    <t>Хаан</t>
  </si>
  <si>
    <t>Давааням.Ц</t>
  </si>
  <si>
    <t>9 сар</t>
  </si>
  <si>
    <t>10 сар</t>
  </si>
  <si>
    <t>11 сар</t>
  </si>
  <si>
    <t>Алтанцэцэг</t>
  </si>
  <si>
    <t>Суугаагүй</t>
  </si>
  <si>
    <t>Амаржаргал</t>
  </si>
  <si>
    <t>Төлөөгүй</t>
  </si>
  <si>
    <t>Анхзаяа.Б</t>
  </si>
  <si>
    <t>Ариунбаяр.Д</t>
  </si>
  <si>
    <t>Ачбаяр</t>
  </si>
  <si>
    <t>Баасанбямба</t>
  </si>
  <si>
    <t>Бадамгарав</t>
  </si>
  <si>
    <t>Байгаль.Б</t>
  </si>
  <si>
    <t>Байгаль.С</t>
  </si>
  <si>
    <t>Бат-Эрдэнэ.Д</t>
  </si>
  <si>
    <t>Баярсайхан.Д</t>
  </si>
  <si>
    <t>Болор-Эрдэнэ</t>
  </si>
  <si>
    <t>Буянжаргал</t>
  </si>
  <si>
    <t>Бямбаа.Б</t>
  </si>
  <si>
    <t xml:space="preserve">Галбаатар </t>
  </si>
  <si>
    <t>Ганбат</t>
  </si>
  <si>
    <t>Гангаалхам</t>
  </si>
  <si>
    <t>Гансүх</t>
  </si>
  <si>
    <t>Гэрэлгуа</t>
  </si>
  <si>
    <t>Гэрэлмаа.Н</t>
  </si>
  <si>
    <t>Гэрэлмаа.У</t>
  </si>
  <si>
    <t>Даарийжав</t>
  </si>
  <si>
    <t>Далайжаргал</t>
  </si>
  <si>
    <t>Дашдондог</t>
  </si>
  <si>
    <t>Дашнамжил</t>
  </si>
  <si>
    <t>Дэлгэрмаа.Ё</t>
  </si>
  <si>
    <t>Дэлгэрмаа.Н</t>
  </si>
  <si>
    <t>Дэлгэрцэцэг.Ц</t>
  </si>
  <si>
    <t>Заланбямбаа</t>
  </si>
  <si>
    <t>Заяа.С</t>
  </si>
  <si>
    <t>Золзаяа.О</t>
  </si>
  <si>
    <t>Зулцэцэг</t>
  </si>
  <si>
    <t>Лхагвасүрэн</t>
  </si>
  <si>
    <t>Лхамрагчаа</t>
  </si>
  <si>
    <t>Минжмаа</t>
  </si>
  <si>
    <t>Мөнхтуяа.Н</t>
  </si>
  <si>
    <t>Мөнхтуяа.Ч</t>
  </si>
  <si>
    <t>Нансалмаа</t>
  </si>
  <si>
    <t>Нямсүрэн</t>
  </si>
  <si>
    <t>Одончимэг.Б</t>
  </si>
  <si>
    <t>Одончимэг.Д</t>
  </si>
  <si>
    <t>Отгон</t>
  </si>
  <si>
    <t>Оюунсүрэн</t>
  </si>
  <si>
    <t>Оюунсүрэн.Д</t>
  </si>
  <si>
    <t>Оюунтуяа.Д</t>
  </si>
  <si>
    <t>Оюунцэцэг.Д</t>
  </si>
  <si>
    <t>Оюунчимэг.У</t>
  </si>
  <si>
    <t>Өлзийбилэг</t>
  </si>
  <si>
    <t>Рэгмаа</t>
  </si>
  <si>
    <t>Сайнбаян</t>
  </si>
  <si>
    <t>Сарангэрэл</t>
  </si>
  <si>
    <t>Сугаржаргал</t>
  </si>
  <si>
    <t>Сумъяа.А</t>
  </si>
  <si>
    <t>Сэвжидмаа</t>
  </si>
  <si>
    <t>Сэржмядаг</t>
  </si>
  <si>
    <t>Ундрам.С</t>
  </si>
  <si>
    <t>Цэцэгдулам</t>
  </si>
  <si>
    <t>Цэцэгмаа.Т</t>
  </si>
  <si>
    <t>Тайлбартай</t>
  </si>
  <si>
    <t>Тодруулах</t>
  </si>
  <si>
    <t>Элбэгзаяа.П</t>
  </si>
  <si>
    <t>Энэбиш.Г</t>
  </si>
  <si>
    <t>Юмжирдулам</t>
  </si>
  <si>
    <t>Төлөгдсөн</t>
  </si>
  <si>
    <t>Нийт төлөх</t>
  </si>
  <si>
    <t>Илүү төлөлт</t>
  </si>
  <si>
    <t>2 хүн 9 сард төлсөн</t>
  </si>
  <si>
    <t>Төлөгдөөгүй</t>
  </si>
  <si>
    <t>12 сар</t>
  </si>
  <si>
    <t>Ууганбаяр.Н</t>
  </si>
  <si>
    <t>Сайнбилэг.Д</t>
  </si>
  <si>
    <t>Ганхүлэг</t>
  </si>
  <si>
    <t>Алтантуяа. Ж</t>
  </si>
  <si>
    <t>Галбадрах</t>
  </si>
  <si>
    <t>Баянжаргал</t>
  </si>
  <si>
    <t>Оюунзул</t>
  </si>
  <si>
    <t>Эрдэнэцэцэг</t>
  </si>
  <si>
    <t>Наранжаргал</t>
  </si>
  <si>
    <t>Дэмид</t>
  </si>
  <si>
    <t>Хоролсүрэн</t>
  </si>
  <si>
    <t>Одончимэг.А</t>
  </si>
  <si>
    <t>Саруулжавхлан</t>
  </si>
  <si>
    <t>Ариунаа</t>
  </si>
  <si>
    <t>Мөнгөнчимэг</t>
  </si>
  <si>
    <t>2025/9/6-нд бүтэн 9 сарын төлбөр 450,000 төгрөг төлсөн</t>
  </si>
  <si>
    <t>2025/9/3-нд бүтэн 12 сарын төлбөр 600,000 төгрөг төлсөн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</si>
</sst>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7030A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7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43" fontId="5" fillId="3" borderId="1" xfId="1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1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0" fillId="4" borderId="0" xfId="0" applyFill="1"/>
    <xf numFmtId="49" fontId="5" fillId="0" borderId="1" xfId="0" applyNumberFormat="1" applyFont="1" applyBorder="1" applyAlignment="1">
      <alignment vertical="center" wrapText="1"/>
    </xf>
    <xf numFmtId="43" fontId="6" fillId="3" borderId="1" xfId="1" applyFont="1" applyFill="1" applyBorder="1"/>
    <xf numFmtId="14" fontId="6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vertical="center"/>
    </xf>
    <xf numFmtId="14" fontId="6" fillId="3" borderId="1" xfId="0" applyNumberFormat="1" applyFont="1" applyFill="1" applyBorder="1" applyAlignment="1">
      <alignment horizontal="center" vertical="center"/>
    </xf>
    <xf numFmtId="43" fontId="7" fillId="3" borderId="1" xfId="1" applyFont="1" applyFill="1" applyBorder="1"/>
    <xf numFmtId="1" fontId="7" fillId="3" borderId="1" xfId="0" applyNumberFormat="1" applyFont="1" applyFill="1" applyBorder="1" applyAlignment="1">
      <alignment horizontal="center"/>
    </xf>
    <xf numFmtId="43" fontId="7" fillId="3" borderId="1" xfId="1" applyFont="1" applyFill="1" applyBorder="1" applyAlignment="1">
      <alignment vertical="center"/>
    </xf>
    <xf numFmtId="1" fontId="7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/>
    </xf>
    <xf numFmtId="14" fontId="6" fillId="3" borderId="1" xfId="0" applyNumberFormat="1" applyFont="1" applyFill="1" applyBorder="1" applyAlignment="1">
      <alignment horizontal="right" vertical="center"/>
    </xf>
    <xf numFmtId="14" fontId="7" fillId="3" borderId="1" xfId="0" applyNumberFormat="1" applyFont="1" applyFill="1" applyBorder="1" applyAlignment="1">
      <alignment horizontal="right"/>
    </xf>
    <xf numFmtId="14" fontId="7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43" fontId="5" fillId="0" borderId="1" xfId="1" applyFont="1" applyBorder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1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11" fillId="0" borderId="1" xfId="0" applyFont="1" applyBorder="1"/>
    <xf numFmtId="0" fontId="0" fillId="0" borderId="1" xfId="0" applyBorder="1"/>
    <xf numFmtId="0" fontId="7" fillId="3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3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43" fontId="7" fillId="0" borderId="1" xfId="1" applyFont="1" applyBorder="1"/>
    <xf numFmtId="43" fontId="5" fillId="4" borderId="1" xfId="1" applyFont="1" applyFill="1" applyBorder="1"/>
    <xf numFmtId="14" fontId="5" fillId="4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/>
    <xf numFmtId="43" fontId="7" fillId="4" borderId="1" xfId="1" applyFont="1" applyFill="1" applyBorder="1"/>
    <xf numFmtId="43" fontId="6" fillId="4" borderId="1" xfId="1" applyFont="1" applyFill="1" applyBorder="1"/>
    <xf numFmtId="0" fontId="7" fillId="0" borderId="1" xfId="0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4" borderId="1" xfId="0" applyFont="1" applyFill="1" applyBorder="1"/>
    <xf numFmtId="14" fontId="6" fillId="4" borderId="1" xfId="0" applyNumberFormat="1" applyFont="1" applyFill="1" applyBorder="1"/>
    <xf numFmtId="0" fontId="7" fillId="4" borderId="1" xfId="0" applyFont="1" applyFill="1" applyBorder="1"/>
    <xf numFmtId="14" fontId="7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43" fontId="6" fillId="0" borderId="1" xfId="1" applyFont="1" applyBorder="1"/>
    <xf numFmtId="14" fontId="6" fillId="0" borderId="1" xfId="0" applyNumberFormat="1" applyFont="1" applyBorder="1"/>
    <xf numFmtId="43" fontId="4" fillId="2" borderId="1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3" fontId="5" fillId="6" borderId="1" xfId="1" applyFont="1" applyFill="1" applyBorder="1"/>
    <xf numFmtId="14" fontId="5" fillId="3" borderId="1" xfId="0" applyNumberFormat="1" applyFont="1" applyFill="1" applyBorder="1"/>
    <xf numFmtId="0" fontId="14" fillId="3" borderId="1" xfId="0" applyFont="1" applyFill="1" applyBorder="1" applyAlignment="1">
      <alignment horizontal="center" vertical="center"/>
    </xf>
    <xf numFmtId="43" fontId="14" fillId="3" borderId="1" xfId="1" applyFont="1" applyFill="1" applyBorder="1"/>
    <xf numFmtId="14" fontId="14" fillId="3" borderId="1" xfId="0" applyNumberFormat="1" applyFont="1" applyFill="1" applyBorder="1"/>
    <xf numFmtId="0" fontId="8" fillId="3" borderId="1" xfId="0" applyFont="1" applyFill="1" applyBorder="1" applyAlignment="1">
      <alignment horizontal="center" vertical="center"/>
    </xf>
    <xf numFmtId="43" fontId="14" fillId="3" borderId="1" xfId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right" vertical="center"/>
    </xf>
    <xf numFmtId="14" fontId="6" fillId="3" borderId="1" xfId="0" applyNumberFormat="1" applyFont="1" applyFill="1" applyBorder="1"/>
    <xf numFmtId="1" fontId="14" fillId="3" borderId="1" xfId="0" applyNumberFormat="1" applyFont="1" applyFill="1" applyBorder="1" applyAlignment="1">
      <alignment horizontal="center"/>
    </xf>
    <xf numFmtId="43" fontId="5" fillId="5" borderId="1" xfId="1" applyFont="1" applyFill="1" applyBorder="1"/>
    <xf numFmtId="0" fontId="14" fillId="3" borderId="1" xfId="0" applyFont="1" applyFill="1" applyBorder="1" applyAlignment="1">
      <alignment horizontal="center"/>
    </xf>
    <xf numFmtId="0" fontId="1" fillId="0" borderId="0" xfId="0" applyFont="1"/>
    <xf numFmtId="43" fontId="5" fillId="0" borderId="0" xfId="1" applyFont="1"/>
    <xf numFmtId="0" fontId="0" fillId="0" borderId="0" xfId="0" applyAlignment="1">
      <alignment horizontal="center" vertical="center"/>
    </xf>
    <xf numFmtId="0" fontId="15" fillId="0" borderId="0" xfId="0" applyFont="1"/>
    <xf numFmtId="43" fontId="15" fillId="0" borderId="0" xfId="1" applyFont="1"/>
    <xf numFmtId="0" fontId="5" fillId="0" borderId="0" xfId="0" applyFont="1"/>
    <xf numFmtId="0" fontId="16" fillId="0" borderId="0" xfId="0" applyFont="1"/>
    <xf numFmtId="43" fontId="5" fillId="0" borderId="0" xfId="1" applyFont="1" applyFill="1" applyBorder="1"/>
    <xf numFmtId="43" fontId="6" fillId="3" borderId="1" xfId="1" applyFont="1" applyFill="1" applyBorder="1" applyAlignment="1">
      <alignment horizontal="center"/>
    </xf>
    <xf numFmtId="43" fontId="5" fillId="4" borderId="1" xfId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43" fontId="5" fillId="4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8" fillId="4" borderId="1" xfId="1" applyFont="1" applyFill="1" applyBorder="1"/>
  </cellXfs>
  <cellStyles count="2">
    <cellStyle name="Comma" xfId="1" builtinId="3"/>
    <cellStyle name="Normal" xfId="0" builtinId="0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94CA-6D0D-48F2-8079-4368CB867077}">
  <dimension ref="A1:X46"/>
  <sheetViews>
    <sheetView topLeftCell="A16" zoomScale="104" workbookViewId="0">
      <selection activeCell="N11" sqref="N11"/>
    </sheetView>
  </sheetViews>
  <sheetFormatPr defaultRowHeight="15" x14ac:dyDescent="0.25"/>
  <cols>
    <col min="1" max="1" width="4.5703125" customWidth="1"/>
    <col min="2" max="2" width="14" customWidth="1"/>
    <col min="3" max="3" width="9.140625" style="75" bestFit="1" customWidth="1"/>
    <col min="4" max="4" width="18.5703125" style="18" customWidth="1"/>
    <col min="5" max="5" width="22.85546875" customWidth="1"/>
    <col min="6" max="6" width="11.42578125" customWidth="1"/>
    <col min="7" max="7" width="14.140625" customWidth="1"/>
    <col min="8" max="8" width="13.42578125" customWidth="1"/>
    <col min="9" max="9" width="16.28515625" customWidth="1"/>
    <col min="10" max="10" width="9.140625" bestFit="1" customWidth="1"/>
    <col min="11" max="11" width="11.42578125" customWidth="1"/>
    <col min="12" max="13" width="9.140625" bestFit="1" customWidth="1"/>
    <col min="14" max="14" width="12.28515625" customWidth="1"/>
    <col min="15" max="15" width="15.5703125" customWidth="1"/>
    <col min="16" max="19" width="9.140625" bestFit="1" customWidth="1"/>
    <col min="20" max="20" width="13.140625" customWidth="1"/>
    <col min="21" max="21" width="16.5703125" customWidth="1"/>
    <col min="22" max="23" width="9.140625" bestFit="1" customWidth="1"/>
    <col min="24" max="24" width="17.5703125" customWidth="1"/>
  </cols>
  <sheetData>
    <row r="1" spans="1:24" ht="25.5" x14ac:dyDescent="0.25">
      <c r="A1" s="7" t="s">
        <v>0</v>
      </c>
      <c r="B1" s="7" t="s">
        <v>1</v>
      </c>
      <c r="C1" s="74" t="s">
        <v>2</v>
      </c>
      <c r="D1" s="7" t="s">
        <v>48</v>
      </c>
      <c r="E1" s="7" t="s">
        <v>189</v>
      </c>
      <c r="F1" s="7" t="s">
        <v>250</v>
      </c>
      <c r="G1" s="7" t="s">
        <v>49</v>
      </c>
      <c r="H1" s="7" t="s">
        <v>50</v>
      </c>
      <c r="I1" s="7" t="s">
        <v>51</v>
      </c>
      <c r="J1" s="7" t="s">
        <v>44</v>
      </c>
      <c r="K1" s="7" t="s">
        <v>43</v>
      </c>
      <c r="L1" s="7" t="s">
        <v>112</v>
      </c>
      <c r="M1" s="7" t="s">
        <v>49</v>
      </c>
      <c r="N1" s="7" t="s">
        <v>50</v>
      </c>
      <c r="O1" s="7" t="s">
        <v>51</v>
      </c>
      <c r="P1" s="7" t="s">
        <v>44</v>
      </c>
      <c r="Q1" s="7" t="s">
        <v>43</v>
      </c>
      <c r="R1" s="7" t="s">
        <v>114</v>
      </c>
      <c r="S1" s="7" t="s">
        <v>49</v>
      </c>
      <c r="T1" s="7" t="s">
        <v>50</v>
      </c>
      <c r="U1" s="7" t="s">
        <v>51</v>
      </c>
      <c r="V1" s="7" t="s">
        <v>44</v>
      </c>
      <c r="W1" s="7" t="s">
        <v>43</v>
      </c>
      <c r="X1" s="7" t="s">
        <v>34</v>
      </c>
    </row>
    <row r="2" spans="1:24" x14ac:dyDescent="0.25">
      <c r="A2" s="8">
        <v>1</v>
      </c>
      <c r="B2" s="59" t="s">
        <v>172</v>
      </c>
      <c r="C2" s="73"/>
      <c r="D2" s="8" t="s">
        <v>86</v>
      </c>
      <c r="E2" s="59" t="s">
        <v>178</v>
      </c>
      <c r="F2" s="15" t="s">
        <v>35</v>
      </c>
      <c r="G2" s="83">
        <v>250000</v>
      </c>
      <c r="H2" s="78">
        <v>46001</v>
      </c>
      <c r="I2" s="79" t="s">
        <v>40</v>
      </c>
      <c r="J2" s="80" t="s">
        <v>45</v>
      </c>
      <c r="K2" s="80">
        <v>5209009001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8">
        <f>A2+1</f>
        <v>2</v>
      </c>
      <c r="B3" s="9" t="s">
        <v>62</v>
      </c>
      <c r="C3" s="73"/>
      <c r="D3" s="8" t="s">
        <v>86</v>
      </c>
      <c r="E3" s="9" t="s">
        <v>188</v>
      </c>
      <c r="F3" s="87" t="s">
        <v>35</v>
      </c>
      <c r="G3" s="83">
        <v>250000</v>
      </c>
      <c r="H3" s="88">
        <v>46013</v>
      </c>
      <c r="I3" s="79" t="s">
        <v>40</v>
      </c>
      <c r="J3" s="79" t="s">
        <v>45</v>
      </c>
      <c r="K3" s="79">
        <v>5209009001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5">
      <c r="A4" s="8">
        <f>A3+1</f>
        <v>3</v>
      </c>
      <c r="B4" s="9" t="s">
        <v>60</v>
      </c>
      <c r="C4" s="73">
        <v>90666666</v>
      </c>
      <c r="D4" s="8" t="s">
        <v>86</v>
      </c>
      <c r="E4" s="9" t="s">
        <v>239</v>
      </c>
      <c r="F4" s="15" t="s">
        <v>35</v>
      </c>
      <c r="G4" s="77">
        <v>250000</v>
      </c>
      <c r="H4" s="78">
        <v>45991</v>
      </c>
      <c r="I4" s="79" t="s">
        <v>40</v>
      </c>
      <c r="J4" s="80" t="s">
        <v>45</v>
      </c>
      <c r="K4" s="80">
        <v>5209009001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5">
      <c r="A5" s="8">
        <f t="shared" ref="A5:A46" si="0">A4+1</f>
        <v>4</v>
      </c>
      <c r="B5" s="81" t="s">
        <v>122</v>
      </c>
      <c r="C5" s="73"/>
      <c r="D5" s="8" t="s">
        <v>86</v>
      </c>
      <c r="E5" s="9"/>
      <c r="F5" s="15" t="s">
        <v>35</v>
      </c>
      <c r="G5" s="77">
        <v>250000</v>
      </c>
      <c r="H5" s="78">
        <v>45999</v>
      </c>
      <c r="I5" s="79" t="s">
        <v>40</v>
      </c>
      <c r="J5" s="80" t="s">
        <v>45</v>
      </c>
      <c r="K5" s="80">
        <v>5209009001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5">
      <c r="A6" s="8">
        <f t="shared" si="0"/>
        <v>5</v>
      </c>
      <c r="B6" s="9" t="s">
        <v>67</v>
      </c>
      <c r="C6" s="73">
        <v>88088017</v>
      </c>
      <c r="D6" s="8" t="s">
        <v>86</v>
      </c>
      <c r="E6" s="9" t="s">
        <v>103</v>
      </c>
      <c r="F6" s="15" t="s">
        <v>35</v>
      </c>
      <c r="G6" s="77">
        <v>250000</v>
      </c>
      <c r="H6" s="78">
        <v>45999</v>
      </c>
      <c r="I6" s="79" t="s">
        <v>40</v>
      </c>
      <c r="J6" s="80" t="s">
        <v>45</v>
      </c>
      <c r="K6" s="80">
        <v>5209009001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25">
      <c r="A7" s="8">
        <f t="shared" si="0"/>
        <v>6</v>
      </c>
      <c r="B7" s="59" t="s">
        <v>168</v>
      </c>
      <c r="C7" s="73">
        <v>89336688</v>
      </c>
      <c r="D7" s="8" t="s">
        <v>86</v>
      </c>
      <c r="E7" s="59" t="s">
        <v>181</v>
      </c>
      <c r="F7" s="15" t="s">
        <v>35</v>
      </c>
      <c r="G7" s="77">
        <v>250000</v>
      </c>
      <c r="H7" s="78">
        <v>46001</v>
      </c>
      <c r="I7" s="79" t="s">
        <v>40</v>
      </c>
      <c r="J7" s="80" t="s">
        <v>45</v>
      </c>
      <c r="K7" s="80">
        <v>5209009001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39"/>
    </row>
    <row r="8" spans="1:24" x14ac:dyDescent="0.25">
      <c r="A8" s="8">
        <f t="shared" si="0"/>
        <v>7</v>
      </c>
      <c r="B8" s="9" t="s">
        <v>79</v>
      </c>
      <c r="C8" s="73"/>
      <c r="D8" s="8" t="s">
        <v>86</v>
      </c>
      <c r="E8" s="9" t="s">
        <v>89</v>
      </c>
      <c r="F8" s="15" t="s">
        <v>35</v>
      </c>
      <c r="G8" s="77">
        <v>250000</v>
      </c>
      <c r="H8" s="78">
        <v>45982</v>
      </c>
      <c r="I8" s="79" t="s">
        <v>40</v>
      </c>
      <c r="J8" s="80" t="s">
        <v>45</v>
      </c>
      <c r="K8" s="80">
        <v>5209009001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5">
      <c r="A9" s="8">
        <f t="shared" si="0"/>
        <v>8</v>
      </c>
      <c r="B9" s="9" t="s">
        <v>65</v>
      </c>
      <c r="C9" s="73">
        <v>99093372</v>
      </c>
      <c r="D9" s="8" t="s">
        <v>86</v>
      </c>
      <c r="E9" s="9" t="s">
        <v>90</v>
      </c>
      <c r="F9" s="15" t="s">
        <v>35</v>
      </c>
      <c r="G9" s="77">
        <v>250000</v>
      </c>
      <c r="H9" s="78">
        <v>45979</v>
      </c>
      <c r="I9" s="79" t="s">
        <v>40</v>
      </c>
      <c r="J9" s="80" t="s">
        <v>45</v>
      </c>
      <c r="K9" s="80">
        <v>5209009001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8">
        <f t="shared" si="0"/>
        <v>9</v>
      </c>
      <c r="B10" s="9" t="s">
        <v>61</v>
      </c>
      <c r="C10" s="73">
        <v>95909160</v>
      </c>
      <c r="D10" s="8" t="s">
        <v>86</v>
      </c>
      <c r="E10" s="9" t="s">
        <v>91</v>
      </c>
      <c r="F10" s="15" t="s">
        <v>35</v>
      </c>
      <c r="G10" s="77">
        <v>250000</v>
      </c>
      <c r="H10" s="78">
        <v>45999</v>
      </c>
      <c r="I10" s="79" t="s">
        <v>40</v>
      </c>
      <c r="J10" s="80" t="s">
        <v>45</v>
      </c>
      <c r="K10" s="80">
        <v>5209009001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5">
      <c r="A11" s="8">
        <f t="shared" si="0"/>
        <v>10</v>
      </c>
      <c r="B11" s="9" t="s">
        <v>240</v>
      </c>
      <c r="C11" s="73"/>
      <c r="D11" s="8" t="s">
        <v>86</v>
      </c>
      <c r="E11" s="9" t="s">
        <v>244</v>
      </c>
      <c r="F11" s="15" t="s">
        <v>35</v>
      </c>
      <c r="G11" s="77">
        <v>250000</v>
      </c>
      <c r="H11" s="78">
        <v>46006</v>
      </c>
      <c r="I11" s="79" t="s">
        <v>40</v>
      </c>
      <c r="J11" s="80" t="s">
        <v>45</v>
      </c>
      <c r="K11" s="80">
        <v>5209009001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8">
        <f t="shared" si="0"/>
        <v>11</v>
      </c>
      <c r="B12" s="9" t="s">
        <v>82</v>
      </c>
      <c r="C12" s="73">
        <v>98000033</v>
      </c>
      <c r="D12" s="8" t="s">
        <v>86</v>
      </c>
      <c r="E12" s="9" t="s">
        <v>92</v>
      </c>
      <c r="F12" s="15" t="s">
        <v>35</v>
      </c>
      <c r="G12" s="77">
        <v>250000</v>
      </c>
      <c r="H12" s="78">
        <v>45987</v>
      </c>
      <c r="I12" s="79" t="s">
        <v>40</v>
      </c>
      <c r="J12" s="80" t="s">
        <v>45</v>
      </c>
      <c r="K12" s="80">
        <v>5209009001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8">
        <f t="shared" si="0"/>
        <v>12</v>
      </c>
      <c r="B13" s="9" t="s">
        <v>55</v>
      </c>
      <c r="C13" s="73">
        <v>88007348</v>
      </c>
      <c r="D13" s="8" t="s">
        <v>86</v>
      </c>
      <c r="E13" s="9" t="s">
        <v>100</v>
      </c>
      <c r="F13" s="15" t="s">
        <v>35</v>
      </c>
      <c r="G13" s="77">
        <v>250000</v>
      </c>
      <c r="H13" s="78">
        <v>45999</v>
      </c>
      <c r="I13" s="79" t="s">
        <v>40</v>
      </c>
      <c r="J13" s="80" t="s">
        <v>45</v>
      </c>
      <c r="K13" s="80">
        <v>5209009001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5">
      <c r="A14" s="8">
        <f t="shared" si="0"/>
        <v>13</v>
      </c>
      <c r="B14" s="9" t="s">
        <v>85</v>
      </c>
      <c r="C14" s="73"/>
      <c r="D14" s="8" t="s">
        <v>86</v>
      </c>
      <c r="E14" s="9" t="s">
        <v>101</v>
      </c>
      <c r="F14" s="15" t="s">
        <v>35</v>
      </c>
      <c r="G14" s="77">
        <v>250000</v>
      </c>
      <c r="H14" s="78">
        <v>45999</v>
      </c>
      <c r="I14" s="79" t="s">
        <v>40</v>
      </c>
      <c r="J14" s="80" t="s">
        <v>45</v>
      </c>
      <c r="K14" s="80">
        <v>5209009001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5">
      <c r="A15" s="8">
        <f t="shared" si="0"/>
        <v>14</v>
      </c>
      <c r="B15" s="59" t="s">
        <v>174</v>
      </c>
      <c r="C15" s="73">
        <v>99271082</v>
      </c>
      <c r="D15" s="8" t="s">
        <v>86</v>
      </c>
      <c r="E15" s="59" t="s">
        <v>175</v>
      </c>
      <c r="F15" s="15" t="s">
        <v>35</v>
      </c>
      <c r="G15" s="77">
        <v>250000</v>
      </c>
      <c r="H15" s="78">
        <v>46001</v>
      </c>
      <c r="I15" s="79" t="s">
        <v>40</v>
      </c>
      <c r="J15" s="80" t="s">
        <v>45</v>
      </c>
      <c r="K15" s="80">
        <v>5209009001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39"/>
    </row>
    <row r="16" spans="1:24" x14ac:dyDescent="0.25">
      <c r="A16" s="8">
        <f t="shared" si="0"/>
        <v>15</v>
      </c>
      <c r="B16" s="9" t="s">
        <v>80</v>
      </c>
      <c r="C16" s="73">
        <v>88093888</v>
      </c>
      <c r="D16" s="8" t="s">
        <v>86</v>
      </c>
      <c r="E16" s="9" t="s">
        <v>95</v>
      </c>
      <c r="F16" s="15" t="s">
        <v>35</v>
      </c>
      <c r="G16" s="77">
        <v>250000</v>
      </c>
      <c r="H16" s="78">
        <v>45997</v>
      </c>
      <c r="I16" s="79" t="s">
        <v>40</v>
      </c>
      <c r="J16" s="80" t="s">
        <v>45</v>
      </c>
      <c r="K16" s="80">
        <v>5209009001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5">
      <c r="A17" s="8">
        <f t="shared" si="0"/>
        <v>16</v>
      </c>
      <c r="B17" s="9" t="s">
        <v>252</v>
      </c>
      <c r="C17" s="73">
        <v>99053674</v>
      </c>
      <c r="D17" s="8" t="s">
        <v>86</v>
      </c>
      <c r="E17" s="9" t="s">
        <v>94</v>
      </c>
      <c r="F17" s="15" t="s">
        <v>35</v>
      </c>
      <c r="G17" s="77">
        <v>250000</v>
      </c>
      <c r="H17" s="78">
        <v>46007</v>
      </c>
      <c r="I17" s="79" t="s">
        <v>40</v>
      </c>
      <c r="J17" s="80" t="s">
        <v>45</v>
      </c>
      <c r="K17" s="80">
        <v>5209009001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5">
      <c r="A18" s="8">
        <f t="shared" si="0"/>
        <v>17</v>
      </c>
      <c r="B18" s="59" t="s">
        <v>169</v>
      </c>
      <c r="C18" s="73">
        <v>99153557</v>
      </c>
      <c r="D18" s="8" t="s">
        <v>86</v>
      </c>
      <c r="E18" s="59" t="s">
        <v>177</v>
      </c>
      <c r="F18" s="15" t="s">
        <v>35</v>
      </c>
      <c r="G18" s="77">
        <v>250000</v>
      </c>
      <c r="H18" s="78">
        <v>46001</v>
      </c>
      <c r="I18" s="79" t="s">
        <v>40</v>
      </c>
      <c r="J18" s="80" t="s">
        <v>45</v>
      </c>
      <c r="K18" s="80">
        <v>5209009001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39"/>
    </row>
    <row r="19" spans="1:24" x14ac:dyDescent="0.25">
      <c r="A19" s="8">
        <f t="shared" si="0"/>
        <v>18</v>
      </c>
      <c r="B19" s="9" t="s">
        <v>242</v>
      </c>
      <c r="C19" s="73"/>
      <c r="D19" s="8" t="s">
        <v>86</v>
      </c>
      <c r="E19" s="9" t="s">
        <v>245</v>
      </c>
      <c r="F19" s="15" t="s">
        <v>35</v>
      </c>
      <c r="G19" s="77">
        <v>250000</v>
      </c>
      <c r="H19" s="78">
        <v>46006</v>
      </c>
      <c r="I19" s="79" t="s">
        <v>40</v>
      </c>
      <c r="J19" s="80" t="s">
        <v>45</v>
      </c>
      <c r="K19" s="80">
        <v>5209009001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5">
      <c r="A20" s="8">
        <f t="shared" si="0"/>
        <v>19</v>
      </c>
      <c r="B20" s="9" t="s">
        <v>75</v>
      </c>
      <c r="C20" s="73"/>
      <c r="D20" s="8" t="s">
        <v>86</v>
      </c>
      <c r="E20" s="9" t="s">
        <v>102</v>
      </c>
      <c r="F20" s="84" t="s">
        <v>36</v>
      </c>
      <c r="G20" s="76">
        <v>200000</v>
      </c>
      <c r="H20" s="85">
        <v>45999</v>
      </c>
      <c r="I20" s="37" t="s">
        <v>40</v>
      </c>
      <c r="J20" s="86" t="s">
        <v>45</v>
      </c>
      <c r="K20" s="86">
        <v>5209009001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25">
      <c r="A21" s="8">
        <f t="shared" si="0"/>
        <v>20</v>
      </c>
      <c r="B21" s="9" t="s">
        <v>74</v>
      </c>
      <c r="C21" s="73">
        <v>95905040</v>
      </c>
      <c r="D21" s="8" t="s">
        <v>86</v>
      </c>
      <c r="E21" s="9" t="s">
        <v>87</v>
      </c>
      <c r="F21" s="15" t="s">
        <v>35</v>
      </c>
      <c r="G21" s="77">
        <v>250000</v>
      </c>
      <c r="H21" s="78">
        <v>45999</v>
      </c>
      <c r="I21" s="79" t="s">
        <v>42</v>
      </c>
      <c r="J21" s="80" t="s">
        <v>45</v>
      </c>
      <c r="K21" s="80">
        <v>5209009001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5">
      <c r="A22" s="8">
        <f t="shared" si="0"/>
        <v>21</v>
      </c>
      <c r="B22" s="59" t="s">
        <v>171</v>
      </c>
      <c r="C22" s="73">
        <v>99192715</v>
      </c>
      <c r="D22" s="8" t="s">
        <v>86</v>
      </c>
      <c r="E22" s="59" t="s">
        <v>179</v>
      </c>
      <c r="F22" s="15" t="s">
        <v>35</v>
      </c>
      <c r="G22" s="77">
        <v>250000</v>
      </c>
      <c r="H22" s="78">
        <v>46001</v>
      </c>
      <c r="I22" s="79" t="s">
        <v>40</v>
      </c>
      <c r="J22" s="80" t="s">
        <v>45</v>
      </c>
      <c r="K22" s="80">
        <v>5209009001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38.25" hidden="1" x14ac:dyDescent="0.25">
      <c r="A23" s="8">
        <f t="shared" si="0"/>
        <v>22</v>
      </c>
      <c r="B23" s="22" t="s">
        <v>72</v>
      </c>
      <c r="C23" s="73"/>
      <c r="D23" s="8" t="s">
        <v>86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9" t="s">
        <v>167</v>
      </c>
    </row>
    <row r="24" spans="1:24" x14ac:dyDescent="0.25">
      <c r="A24" s="8">
        <v>22</v>
      </c>
      <c r="B24" s="9" t="s">
        <v>66</v>
      </c>
      <c r="C24" s="73">
        <v>80485548</v>
      </c>
      <c r="D24" s="8" t="s">
        <v>86</v>
      </c>
      <c r="E24" s="9" t="s">
        <v>88</v>
      </c>
      <c r="F24" s="15" t="s">
        <v>35</v>
      </c>
      <c r="G24" s="77">
        <v>250000</v>
      </c>
      <c r="H24" s="78">
        <v>45996</v>
      </c>
      <c r="I24" s="79" t="s">
        <v>40</v>
      </c>
      <c r="J24" s="80" t="s">
        <v>45</v>
      </c>
      <c r="K24" s="80">
        <v>5209009001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25">
      <c r="A25" s="8">
        <f t="shared" si="0"/>
        <v>23</v>
      </c>
      <c r="B25" s="9" t="s">
        <v>71</v>
      </c>
      <c r="C25" s="73">
        <v>99895018</v>
      </c>
      <c r="D25" s="8" t="s">
        <v>86</v>
      </c>
      <c r="E25" s="9" t="s">
        <v>106</v>
      </c>
      <c r="F25" s="15" t="s">
        <v>35</v>
      </c>
      <c r="G25" s="77">
        <v>250000</v>
      </c>
      <c r="H25" s="78">
        <v>45997</v>
      </c>
      <c r="I25" s="79" t="s">
        <v>40</v>
      </c>
      <c r="J25" s="80" t="s">
        <v>45</v>
      </c>
      <c r="K25" s="80">
        <v>5209009001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5">
      <c r="A26" s="8">
        <f t="shared" si="0"/>
        <v>24</v>
      </c>
      <c r="B26" s="9" t="s">
        <v>76</v>
      </c>
      <c r="C26" s="73"/>
      <c r="D26" s="8" t="s">
        <v>86</v>
      </c>
      <c r="E26" s="9" t="s">
        <v>96</v>
      </c>
      <c r="F26" s="84" t="s">
        <v>36</v>
      </c>
      <c r="G26" s="76">
        <v>200000</v>
      </c>
      <c r="H26" s="85">
        <v>45999</v>
      </c>
      <c r="I26" s="37" t="s">
        <v>40</v>
      </c>
      <c r="J26" s="86" t="s">
        <v>45</v>
      </c>
      <c r="K26" s="86">
        <v>5209009001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8">
        <f t="shared" si="0"/>
        <v>25</v>
      </c>
      <c r="B27" s="9" t="s">
        <v>68</v>
      </c>
      <c r="C27" s="73">
        <v>97037007</v>
      </c>
      <c r="D27" s="8" t="s">
        <v>86</v>
      </c>
      <c r="E27" s="9" t="s">
        <v>105</v>
      </c>
      <c r="F27" s="15" t="s">
        <v>35</v>
      </c>
      <c r="G27" s="77">
        <v>250000</v>
      </c>
      <c r="H27" s="78">
        <v>46001</v>
      </c>
      <c r="I27" s="79" t="s">
        <v>40</v>
      </c>
      <c r="J27" s="80" t="s">
        <v>45</v>
      </c>
      <c r="K27" s="80">
        <v>5209009001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8">
        <f t="shared" si="0"/>
        <v>26</v>
      </c>
      <c r="B28" s="81" t="s">
        <v>241</v>
      </c>
      <c r="C28" s="73"/>
      <c r="D28" s="8" t="s">
        <v>86</v>
      </c>
      <c r="E28" s="9"/>
      <c r="F28" s="15" t="s">
        <v>35</v>
      </c>
      <c r="G28" s="77">
        <v>250000</v>
      </c>
      <c r="H28" s="78">
        <v>46001</v>
      </c>
      <c r="I28" s="79" t="s">
        <v>40</v>
      </c>
      <c r="J28" s="80" t="s">
        <v>45</v>
      </c>
      <c r="K28" s="80">
        <v>5209009001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8">
        <f t="shared" si="0"/>
        <v>27</v>
      </c>
      <c r="B29" s="9" t="s">
        <v>83</v>
      </c>
      <c r="C29" s="73">
        <v>95954159</v>
      </c>
      <c r="D29" s="8" t="s">
        <v>86</v>
      </c>
      <c r="E29" s="9" t="s">
        <v>104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5">
      <c r="A30" s="8">
        <f t="shared" si="0"/>
        <v>28</v>
      </c>
      <c r="B30" s="9" t="s">
        <v>70</v>
      </c>
      <c r="C30" s="73"/>
      <c r="D30" s="8" t="s">
        <v>86</v>
      </c>
      <c r="E30" s="9" t="s">
        <v>108</v>
      </c>
      <c r="F30" s="87" t="s">
        <v>35</v>
      </c>
      <c r="G30" s="83">
        <v>250000</v>
      </c>
      <c r="H30" s="88">
        <v>46013</v>
      </c>
      <c r="I30" s="79" t="s">
        <v>40</v>
      </c>
      <c r="J30" s="79" t="s">
        <v>45</v>
      </c>
      <c r="K30" s="79">
        <v>5209009001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5">
      <c r="A31" s="8">
        <f t="shared" si="0"/>
        <v>29</v>
      </c>
      <c r="B31" s="9" t="s">
        <v>69</v>
      </c>
      <c r="C31" s="73">
        <v>99046697</v>
      </c>
      <c r="D31" s="8" t="s">
        <v>86</v>
      </c>
      <c r="E31" s="9" t="s">
        <v>107</v>
      </c>
      <c r="F31" s="15" t="s">
        <v>35</v>
      </c>
      <c r="G31" s="77">
        <v>250000</v>
      </c>
      <c r="H31" s="78">
        <v>45999</v>
      </c>
      <c r="I31" s="79" t="s">
        <v>40</v>
      </c>
      <c r="J31" s="80" t="s">
        <v>45</v>
      </c>
      <c r="K31" s="80">
        <v>5209009001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38.25" x14ac:dyDescent="0.25">
      <c r="A32" s="8">
        <f t="shared" si="0"/>
        <v>30</v>
      </c>
      <c r="B32" s="59" t="s">
        <v>173</v>
      </c>
      <c r="C32" s="73"/>
      <c r="D32" s="8" t="s">
        <v>86</v>
      </c>
      <c r="E32" s="59" t="s">
        <v>186</v>
      </c>
      <c r="F32" s="15" t="s">
        <v>35</v>
      </c>
      <c r="G32" s="77">
        <v>250000</v>
      </c>
      <c r="H32" s="78">
        <v>46002</v>
      </c>
      <c r="I32" s="79" t="s">
        <v>40</v>
      </c>
      <c r="J32" s="80" t="s">
        <v>45</v>
      </c>
      <c r="K32" s="80">
        <v>5209009001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39" t="s">
        <v>167</v>
      </c>
    </row>
    <row r="33" spans="1:24" x14ac:dyDescent="0.25">
      <c r="A33" s="8">
        <f t="shared" si="0"/>
        <v>31</v>
      </c>
      <c r="B33" s="9" t="s">
        <v>81</v>
      </c>
      <c r="C33" s="73">
        <v>89036757</v>
      </c>
      <c r="D33" s="8" t="s">
        <v>86</v>
      </c>
      <c r="E33" s="9" t="s">
        <v>97</v>
      </c>
      <c r="F33" s="15" t="s">
        <v>35</v>
      </c>
      <c r="G33" s="77">
        <v>250000</v>
      </c>
      <c r="H33" s="78">
        <v>45993</v>
      </c>
      <c r="I33" s="79" t="s">
        <v>40</v>
      </c>
      <c r="J33" s="80" t="s">
        <v>45</v>
      </c>
      <c r="K33" s="80">
        <v>5209009001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25">
      <c r="A34" s="8">
        <f t="shared" si="0"/>
        <v>32</v>
      </c>
      <c r="B34" s="59" t="s">
        <v>183</v>
      </c>
      <c r="C34" s="73">
        <v>94070703</v>
      </c>
      <c r="D34" s="8" t="s">
        <v>86</v>
      </c>
      <c r="E34" s="59" t="s">
        <v>184</v>
      </c>
      <c r="F34" s="87" t="s">
        <v>35</v>
      </c>
      <c r="G34" s="83">
        <v>250000</v>
      </c>
      <c r="H34" s="88">
        <v>46013</v>
      </c>
      <c r="I34" s="79" t="s">
        <v>40</v>
      </c>
      <c r="J34" s="79" t="s">
        <v>45</v>
      </c>
      <c r="K34" s="79">
        <v>5209009001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8">
        <f t="shared" si="0"/>
        <v>33</v>
      </c>
      <c r="B35" s="9" t="s">
        <v>59</v>
      </c>
      <c r="C35" s="73">
        <v>88107583</v>
      </c>
      <c r="D35" s="8" t="s">
        <v>86</v>
      </c>
      <c r="E35" s="9" t="s">
        <v>185</v>
      </c>
      <c r="F35" s="15" t="s">
        <v>35</v>
      </c>
      <c r="G35" s="77">
        <v>250000</v>
      </c>
      <c r="H35" s="78">
        <v>45999</v>
      </c>
      <c r="I35" s="79" t="s">
        <v>40</v>
      </c>
      <c r="J35" s="80" t="s">
        <v>45</v>
      </c>
      <c r="K35" s="80">
        <v>5209009001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5">
      <c r="A36" s="8">
        <f t="shared" si="0"/>
        <v>34</v>
      </c>
      <c r="B36" s="9" t="s">
        <v>57</v>
      </c>
      <c r="C36" s="73">
        <v>80288876</v>
      </c>
      <c r="D36" s="8" t="s">
        <v>86</v>
      </c>
      <c r="E36" s="9" t="s">
        <v>111</v>
      </c>
      <c r="F36" s="9" t="s">
        <v>35</v>
      </c>
      <c r="G36" s="57">
        <v>0</v>
      </c>
      <c r="H36" s="10">
        <v>45991</v>
      </c>
      <c r="I36" s="17" t="s">
        <v>40</v>
      </c>
      <c r="J36" s="8" t="s">
        <v>45</v>
      </c>
      <c r="K36" s="8">
        <v>5209009001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8">
        <f t="shared" si="0"/>
        <v>35</v>
      </c>
      <c r="B37" s="59" t="s">
        <v>170</v>
      </c>
      <c r="C37" s="73">
        <v>98601199</v>
      </c>
      <c r="D37" s="8" t="s">
        <v>86</v>
      </c>
      <c r="E37" s="59" t="s">
        <v>176</v>
      </c>
      <c r="F37" s="15" t="s">
        <v>35</v>
      </c>
      <c r="G37" s="77">
        <v>250000</v>
      </c>
      <c r="H37" s="78">
        <v>46001</v>
      </c>
      <c r="I37" s="79" t="s">
        <v>40</v>
      </c>
      <c r="J37" s="80" t="s">
        <v>45</v>
      </c>
      <c r="K37" s="80">
        <v>5209009001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39"/>
    </row>
    <row r="38" spans="1:24" x14ac:dyDescent="0.25">
      <c r="A38" s="8">
        <f t="shared" si="0"/>
        <v>36</v>
      </c>
      <c r="B38" s="9" t="s">
        <v>73</v>
      </c>
      <c r="C38" s="73">
        <v>99213149</v>
      </c>
      <c r="D38" s="8" t="s">
        <v>86</v>
      </c>
      <c r="E38" s="9" t="s">
        <v>98</v>
      </c>
      <c r="F38" s="15" t="s">
        <v>35</v>
      </c>
      <c r="G38" s="83">
        <v>250000</v>
      </c>
      <c r="H38" s="78">
        <v>46001</v>
      </c>
      <c r="I38" s="79" t="s">
        <v>41</v>
      </c>
      <c r="J38" s="15"/>
      <c r="K38" s="15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5">
      <c r="A39" s="8">
        <f t="shared" si="0"/>
        <v>37</v>
      </c>
      <c r="B39" s="9" t="s">
        <v>63</v>
      </c>
      <c r="C39" s="73">
        <v>99704857</v>
      </c>
      <c r="D39" s="8" t="s">
        <v>86</v>
      </c>
      <c r="E39" s="9" t="s">
        <v>182</v>
      </c>
      <c r="F39" s="87" t="s">
        <v>35</v>
      </c>
      <c r="G39" s="83">
        <v>250000</v>
      </c>
      <c r="H39" s="88">
        <v>45999</v>
      </c>
      <c r="I39" s="79" t="s">
        <v>40</v>
      </c>
      <c r="J39" s="79" t="s">
        <v>45</v>
      </c>
      <c r="K39" s="79">
        <v>5209009001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8">
        <f t="shared" si="0"/>
        <v>38</v>
      </c>
      <c r="B40" s="9" t="s">
        <v>78</v>
      </c>
      <c r="C40" s="73"/>
      <c r="D40" s="8" t="s">
        <v>86</v>
      </c>
      <c r="E40" s="9" t="s">
        <v>110</v>
      </c>
      <c r="F40" s="15" t="s">
        <v>35</v>
      </c>
      <c r="G40" s="77">
        <v>250000</v>
      </c>
      <c r="H40" s="78">
        <v>45998</v>
      </c>
      <c r="I40" s="79" t="s">
        <v>40</v>
      </c>
      <c r="J40" s="80" t="s">
        <v>45</v>
      </c>
      <c r="K40" s="80">
        <v>5209009001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25">
      <c r="A41" s="8">
        <f t="shared" si="0"/>
        <v>39</v>
      </c>
      <c r="B41" s="9" t="s">
        <v>64</v>
      </c>
      <c r="C41" s="73">
        <v>86186068</v>
      </c>
      <c r="D41" s="8" t="s">
        <v>86</v>
      </c>
      <c r="E41" s="9" t="s">
        <v>109</v>
      </c>
      <c r="F41" s="12" t="s">
        <v>316</v>
      </c>
      <c r="G41" s="57">
        <v>250000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8">
        <f t="shared" si="0"/>
        <v>40</v>
      </c>
      <c r="B42" s="81" t="s">
        <v>243</v>
      </c>
      <c r="C42" s="73"/>
      <c r="D42" s="8" t="s">
        <v>86</v>
      </c>
      <c r="E42" s="9"/>
      <c r="F42" s="15" t="s">
        <v>35</v>
      </c>
      <c r="G42" s="77">
        <v>250000</v>
      </c>
      <c r="H42" s="78">
        <v>46003</v>
      </c>
      <c r="I42" s="79" t="s">
        <v>40</v>
      </c>
      <c r="J42" s="80" t="s">
        <v>45</v>
      </c>
      <c r="K42" s="80">
        <v>5209009001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8">
        <f t="shared" si="0"/>
        <v>41</v>
      </c>
      <c r="B43" s="9" t="s">
        <v>56</v>
      </c>
      <c r="C43" s="73">
        <v>88175800</v>
      </c>
      <c r="D43" s="8" t="s">
        <v>86</v>
      </c>
      <c r="E43" s="9" t="s">
        <v>99</v>
      </c>
      <c r="F43" s="15" t="s">
        <v>35</v>
      </c>
      <c r="G43" s="77">
        <v>250000</v>
      </c>
      <c r="H43" s="78">
        <v>45999</v>
      </c>
      <c r="I43" s="79" t="s">
        <v>40</v>
      </c>
      <c r="J43" s="80" t="s">
        <v>45</v>
      </c>
      <c r="K43" s="80">
        <v>5209009001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8">
        <f t="shared" si="0"/>
        <v>42</v>
      </c>
      <c r="B44" s="9" t="s">
        <v>84</v>
      </c>
      <c r="C44" s="73">
        <v>96002929</v>
      </c>
      <c r="D44" s="8" t="s">
        <v>86</v>
      </c>
      <c r="E44" s="9" t="s">
        <v>93</v>
      </c>
      <c r="F44" s="15" t="s">
        <v>35</v>
      </c>
      <c r="G44" s="77">
        <v>250000</v>
      </c>
      <c r="H44" s="78">
        <v>45999</v>
      </c>
      <c r="I44" s="79" t="s">
        <v>40</v>
      </c>
      <c r="J44" s="80" t="s">
        <v>45</v>
      </c>
      <c r="K44" s="80">
        <v>5209009001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5">
      <c r="A45" s="8">
        <f t="shared" si="0"/>
        <v>43</v>
      </c>
      <c r="B45" s="9" t="s">
        <v>58</v>
      </c>
      <c r="C45" s="73">
        <v>80068876</v>
      </c>
      <c r="D45" s="8" t="s">
        <v>86</v>
      </c>
      <c r="E45" s="9" t="s">
        <v>180</v>
      </c>
      <c r="F45" s="9" t="s">
        <v>35</v>
      </c>
      <c r="G45" s="57">
        <v>500000</v>
      </c>
      <c r="H45" s="10">
        <v>45991</v>
      </c>
      <c r="I45" s="17" t="s">
        <v>40</v>
      </c>
      <c r="J45" s="8" t="s">
        <v>45</v>
      </c>
      <c r="K45" s="8">
        <v>5209009001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5">
      <c r="A46" s="8">
        <f t="shared" si="0"/>
        <v>44</v>
      </c>
      <c r="B46" s="9" t="s">
        <v>77</v>
      </c>
      <c r="C46" s="73">
        <v>96663332</v>
      </c>
      <c r="D46" s="8" t="s">
        <v>86</v>
      </c>
      <c r="E46" s="9" t="s">
        <v>187</v>
      </c>
      <c r="F46" s="15" t="s">
        <v>35</v>
      </c>
      <c r="G46" s="77">
        <v>250000</v>
      </c>
      <c r="H46" s="78">
        <v>46001</v>
      </c>
      <c r="I46" s="79" t="s">
        <v>41</v>
      </c>
      <c r="J46" s="15"/>
      <c r="K46" s="15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</sheetData>
  <dataValidations count="4">
    <dataValidation type="list" allowBlank="1" showInputMessage="1" showErrorMessage="1" sqref="L8:M8 L2:L7 L9:L33 R2:R33 F14:F25 F27:F32 F2:F12 F36:F46 F34" xr:uid="{72C09870-A4F7-43DC-B502-A5528AA6CBBF}">
      <formula1>"Төлсөн,Төлөөгүй,Тайлбартай,Суугаагүй"</formula1>
    </dataValidation>
    <dataValidation type="list" allowBlank="1" showInputMessage="1" showErrorMessage="1" sqref="P22 V26:V33 J2:J13 V11:V12 V14:V18 P19 P11:P12 P5:P7 P2:P3 V24 P24 V21 P9 P14:P17 V2:V9 P26:P33 J15:J24 J38:J40 J42:J46 J26:J36" xr:uid="{672BCC9F-3222-47E4-8E86-2130A4372696}">
      <formula1>"Хаан,Голомт"</formula1>
    </dataValidation>
    <dataValidation type="list" allowBlank="1" showInputMessage="1" showErrorMessage="1" sqref="F13 F26 F35 F33" xr:uid="{919DC66A-F95C-4F7D-9435-966433059BF4}">
      <formula1>"Төлсөн,Төлөөгүй,Тайлбартай,Суугаагүй,Дутуу төлсөн"</formula1>
    </dataValidation>
    <dataValidation type="list" allowBlank="1" showInputMessage="1" showErrorMessage="1" sqref="I13:I15 I24:I27 I21 I37:I40 I6:I9 I42:I46 I4 I31:I33 I35" xr:uid="{CE1E843F-1C30-4E7A-9005-D34FCA13E090}">
      <formula1>"Данс,Бэлэн,Данс бэлэн"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ECA6-15EB-401E-A80F-6F067F62F7F2}">
  <dimension ref="A1:X37"/>
  <sheetViews>
    <sheetView tabSelected="1" workbookViewId="0">
      <selection activeCell="F47" sqref="F47"/>
    </sheetView>
  </sheetViews>
  <sheetFormatPr defaultRowHeight="15" x14ac:dyDescent="0.25"/>
  <cols>
    <col min="1" max="1" width="5.140625" customWidth="1"/>
    <col min="2" max="2" width="14.42578125" customWidth="1"/>
    <col min="3" max="3" width="11.140625" customWidth="1"/>
    <col min="4" max="4" width="15.42578125" customWidth="1"/>
    <col min="5" max="5" width="18.85546875" bestFit="1" customWidth="1"/>
    <col min="6" max="7" width="15.42578125" customWidth="1"/>
    <col min="8" max="8" width="15.42578125" style="70" customWidth="1"/>
    <col min="9" max="24" width="15.42578125" customWidth="1"/>
    <col min="25" max="25" width="14" customWidth="1"/>
    <col min="26" max="26" width="11.28515625" customWidth="1"/>
    <col min="27" max="27" width="8.42578125" customWidth="1"/>
    <col min="28" max="28" width="5.85546875" customWidth="1"/>
    <col min="29" max="29" width="12.42578125" customWidth="1"/>
  </cols>
  <sheetData>
    <row r="1" spans="1:24" ht="25.5" x14ac:dyDescent="0.25">
      <c r="A1" s="7" t="s">
        <v>0</v>
      </c>
      <c r="B1" s="7" t="s">
        <v>1</v>
      </c>
      <c r="C1" s="7" t="s">
        <v>25</v>
      </c>
      <c r="D1" s="7" t="s">
        <v>27</v>
      </c>
      <c r="E1" s="7" t="s">
        <v>189</v>
      </c>
      <c r="F1" s="7" t="s">
        <v>113</v>
      </c>
      <c r="G1" s="7" t="s">
        <v>54</v>
      </c>
      <c r="H1" s="67" t="s">
        <v>46</v>
      </c>
      <c r="I1" s="7" t="s">
        <v>39</v>
      </c>
      <c r="J1" s="7" t="s">
        <v>44</v>
      </c>
      <c r="K1" s="7" t="s">
        <v>43</v>
      </c>
      <c r="L1" s="7" t="s">
        <v>112</v>
      </c>
      <c r="M1" s="7" t="s">
        <v>54</v>
      </c>
      <c r="N1" s="7" t="s">
        <v>46</v>
      </c>
      <c r="O1" s="7" t="s">
        <v>39</v>
      </c>
      <c r="P1" s="7" t="s">
        <v>44</v>
      </c>
      <c r="Q1" s="7" t="s">
        <v>43</v>
      </c>
      <c r="R1" s="7" t="s">
        <v>114</v>
      </c>
      <c r="S1" s="7" t="s">
        <v>54</v>
      </c>
      <c r="T1" s="7" t="s">
        <v>46</v>
      </c>
      <c r="U1" s="7" t="s">
        <v>39</v>
      </c>
      <c r="V1" s="7" t="s">
        <v>44</v>
      </c>
      <c r="W1" s="7" t="s">
        <v>43</v>
      </c>
      <c r="X1" s="7" t="s">
        <v>34</v>
      </c>
    </row>
    <row r="2" spans="1:24" x14ac:dyDescent="0.25">
      <c r="A2" s="13">
        <v>1</v>
      </c>
      <c r="B2" s="60" t="s">
        <v>118</v>
      </c>
      <c r="C2" s="12">
        <v>88017789</v>
      </c>
      <c r="D2" s="13" t="s">
        <v>4</v>
      </c>
      <c r="E2" s="60" t="s">
        <v>233</v>
      </c>
      <c r="F2" s="13"/>
      <c r="G2" s="13"/>
      <c r="H2" s="68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25">
      <c r="A3" s="13">
        <f t="shared" ref="A3:A16" si="0">A2+1</f>
        <v>2</v>
      </c>
      <c r="B3" s="60" t="s">
        <v>131</v>
      </c>
      <c r="C3" s="12">
        <v>99756022</v>
      </c>
      <c r="D3" s="13" t="s">
        <v>4</v>
      </c>
      <c r="E3" s="60" t="s">
        <v>221</v>
      </c>
      <c r="F3" s="89" t="s">
        <v>35</v>
      </c>
      <c r="G3" s="82">
        <v>250000</v>
      </c>
      <c r="H3" s="90">
        <v>46000</v>
      </c>
      <c r="I3" s="91" t="s">
        <v>40</v>
      </c>
      <c r="J3" s="91" t="s">
        <v>251</v>
      </c>
      <c r="K3" s="91">
        <v>5027586600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25">
      <c r="A4" s="13">
        <f t="shared" si="0"/>
        <v>3</v>
      </c>
      <c r="B4" s="60" t="s">
        <v>122</v>
      </c>
      <c r="C4" s="12">
        <v>91914670</v>
      </c>
      <c r="D4" s="13" t="s">
        <v>4</v>
      </c>
      <c r="E4" s="60" t="s">
        <v>215</v>
      </c>
      <c r="F4" s="15" t="s">
        <v>35</v>
      </c>
      <c r="G4" s="77">
        <v>200000</v>
      </c>
      <c r="H4" s="78">
        <v>46000</v>
      </c>
      <c r="I4" s="79" t="s">
        <v>40</v>
      </c>
      <c r="J4" s="80" t="s">
        <v>45</v>
      </c>
      <c r="K4" s="80">
        <v>5209009001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25">
      <c r="A5" s="13">
        <f t="shared" si="0"/>
        <v>4</v>
      </c>
      <c r="B5" s="60" t="s">
        <v>117</v>
      </c>
      <c r="C5" s="12">
        <v>86462001</v>
      </c>
      <c r="D5" s="13" t="s">
        <v>4</v>
      </c>
      <c r="E5" s="60" t="s">
        <v>229</v>
      </c>
      <c r="F5" s="15" t="s">
        <v>35</v>
      </c>
      <c r="G5" s="77">
        <v>200000</v>
      </c>
      <c r="H5" s="78">
        <v>46000</v>
      </c>
      <c r="I5" s="79" t="s">
        <v>40</v>
      </c>
      <c r="J5" s="80" t="s">
        <v>45</v>
      </c>
      <c r="K5" s="80">
        <v>5209009001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25">
      <c r="A6" s="13">
        <f t="shared" si="0"/>
        <v>5</v>
      </c>
      <c r="B6" s="60" t="s">
        <v>151</v>
      </c>
      <c r="C6" s="35">
        <v>89099466</v>
      </c>
      <c r="D6" s="13" t="s">
        <v>4</v>
      </c>
      <c r="E6" s="60" t="s">
        <v>232</v>
      </c>
      <c r="F6" s="15" t="s">
        <v>35</v>
      </c>
      <c r="G6" s="77">
        <v>200000</v>
      </c>
      <c r="H6" s="78">
        <v>46009</v>
      </c>
      <c r="I6" s="79" t="s">
        <v>40</v>
      </c>
      <c r="J6" s="80" t="s">
        <v>45</v>
      </c>
      <c r="K6" s="80">
        <v>5209009001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13">
        <f t="shared" si="0"/>
        <v>6</v>
      </c>
      <c r="B7" s="60" t="s">
        <v>130</v>
      </c>
      <c r="C7" s="12">
        <v>99293409</v>
      </c>
      <c r="D7" s="13" t="s">
        <v>4</v>
      </c>
      <c r="E7" s="60" t="s">
        <v>192</v>
      </c>
      <c r="F7" s="15" t="s">
        <v>35</v>
      </c>
      <c r="G7" s="77">
        <v>200000</v>
      </c>
      <c r="H7" s="78">
        <v>46000</v>
      </c>
      <c r="I7" s="79" t="s">
        <v>41</v>
      </c>
      <c r="J7" s="80"/>
      <c r="K7" s="80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25">
      <c r="A8" s="13">
        <f t="shared" si="0"/>
        <v>7</v>
      </c>
      <c r="B8" s="60" t="s">
        <v>148</v>
      </c>
      <c r="C8" s="34">
        <v>99140822</v>
      </c>
      <c r="D8" s="13" t="s">
        <v>4</v>
      </c>
      <c r="E8" s="60" t="s">
        <v>248</v>
      </c>
      <c r="F8" s="15" t="s">
        <v>35</v>
      </c>
      <c r="G8" s="77">
        <v>200000</v>
      </c>
      <c r="H8" s="78">
        <v>46002</v>
      </c>
      <c r="I8" s="79" t="s">
        <v>40</v>
      </c>
      <c r="J8" s="80" t="s">
        <v>45</v>
      </c>
      <c r="K8" s="80">
        <v>5209009001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13">
        <f t="shared" si="0"/>
        <v>8</v>
      </c>
      <c r="B9" s="60" t="s">
        <v>165</v>
      </c>
      <c r="C9" s="1">
        <v>96807676</v>
      </c>
      <c r="D9" s="13" t="s">
        <v>4</v>
      </c>
      <c r="E9" s="60" t="s">
        <v>193</v>
      </c>
      <c r="F9" s="15" t="s">
        <v>35</v>
      </c>
      <c r="G9" s="77">
        <v>200000</v>
      </c>
      <c r="H9" s="78">
        <v>46014</v>
      </c>
      <c r="I9" s="79" t="s">
        <v>40</v>
      </c>
      <c r="J9" s="80" t="s">
        <v>45</v>
      </c>
      <c r="K9" s="80">
        <v>5209009001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13">
        <f t="shared" si="0"/>
        <v>9</v>
      </c>
      <c r="B10" s="60" t="s">
        <v>138</v>
      </c>
      <c r="C10" s="12">
        <v>89875400</v>
      </c>
      <c r="D10" s="13" t="s">
        <v>4</v>
      </c>
      <c r="E10" s="60" t="s">
        <v>222</v>
      </c>
      <c r="F10" s="13"/>
      <c r="G10" s="13"/>
      <c r="H10" s="68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25">
      <c r="A11" s="13">
        <f t="shared" si="0"/>
        <v>10</v>
      </c>
      <c r="B11" s="60" t="s">
        <v>129</v>
      </c>
      <c r="C11" s="12">
        <v>99193880</v>
      </c>
      <c r="D11" s="13" t="s">
        <v>4</v>
      </c>
      <c r="E11" s="60" t="s">
        <v>212</v>
      </c>
      <c r="F11" s="15" t="s">
        <v>35</v>
      </c>
      <c r="G11" s="77">
        <v>200000</v>
      </c>
      <c r="H11" s="78">
        <v>46000</v>
      </c>
      <c r="I11" s="79" t="s">
        <v>40</v>
      </c>
      <c r="J11" s="80" t="s">
        <v>45</v>
      </c>
      <c r="K11" s="80">
        <v>5209009001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25">
      <c r="A12" s="13">
        <f t="shared" si="0"/>
        <v>11</v>
      </c>
      <c r="B12" s="60" t="s">
        <v>120</v>
      </c>
      <c r="C12" s="12">
        <v>88719105</v>
      </c>
      <c r="D12" s="13" t="s">
        <v>4</v>
      </c>
      <c r="E12" s="60" t="s">
        <v>238</v>
      </c>
      <c r="F12" s="15" t="s">
        <v>35</v>
      </c>
      <c r="G12" s="77">
        <v>0</v>
      </c>
      <c r="H12" s="78">
        <v>45999</v>
      </c>
      <c r="I12" s="79" t="s">
        <v>40</v>
      </c>
      <c r="J12" s="80" t="s">
        <v>45</v>
      </c>
      <c r="K12" s="80">
        <v>5209009001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25">
      <c r="A13" s="13">
        <f t="shared" si="0"/>
        <v>12</v>
      </c>
      <c r="B13" s="92" t="s">
        <v>121</v>
      </c>
      <c r="C13" s="12">
        <v>89558808</v>
      </c>
      <c r="D13" s="13" t="s">
        <v>4</v>
      </c>
      <c r="E13" s="60" t="s">
        <v>201</v>
      </c>
      <c r="F13" s="13"/>
      <c r="G13" s="13"/>
      <c r="H13" s="6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25">
      <c r="A14" s="13">
        <f t="shared" si="0"/>
        <v>13</v>
      </c>
      <c r="B14" s="60" t="s">
        <v>115</v>
      </c>
      <c r="C14" s="12">
        <v>80031688</v>
      </c>
      <c r="D14" s="13" t="s">
        <v>4</v>
      </c>
      <c r="E14" s="60" t="s">
        <v>195</v>
      </c>
      <c r="F14" s="15" t="s">
        <v>35</v>
      </c>
      <c r="G14" s="77">
        <v>200000</v>
      </c>
      <c r="H14" s="78">
        <v>46001</v>
      </c>
      <c r="I14" s="79" t="s">
        <v>40</v>
      </c>
      <c r="J14" s="80" t="s">
        <v>45</v>
      </c>
      <c r="K14" s="80">
        <v>5209009001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25">
      <c r="A15" s="13">
        <f t="shared" si="0"/>
        <v>14</v>
      </c>
      <c r="B15" s="60" t="s">
        <v>127</v>
      </c>
      <c r="C15" s="12">
        <v>99165428</v>
      </c>
      <c r="D15" s="13" t="s">
        <v>4</v>
      </c>
      <c r="E15" s="60" t="s">
        <v>226</v>
      </c>
      <c r="F15" s="15" t="s">
        <v>35</v>
      </c>
      <c r="G15" s="126">
        <v>250000</v>
      </c>
      <c r="H15" s="78">
        <v>46007</v>
      </c>
      <c r="I15" s="79" t="s">
        <v>40</v>
      </c>
      <c r="J15" s="80" t="s">
        <v>45</v>
      </c>
      <c r="K15" s="80">
        <v>5209009001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25">
      <c r="A16" s="13">
        <f t="shared" si="0"/>
        <v>15</v>
      </c>
      <c r="B16" s="60" t="s">
        <v>142</v>
      </c>
      <c r="C16" s="12">
        <v>95559758</v>
      </c>
      <c r="D16" s="13" t="s">
        <v>4</v>
      </c>
      <c r="E16" s="60" t="s">
        <v>204</v>
      </c>
      <c r="F16" s="15" t="s">
        <v>35</v>
      </c>
      <c r="G16" s="77">
        <v>200000</v>
      </c>
      <c r="H16" s="78">
        <v>46000</v>
      </c>
      <c r="I16" s="79" t="s">
        <v>40</v>
      </c>
      <c r="J16" s="80" t="s">
        <v>45</v>
      </c>
      <c r="K16" s="80">
        <v>5209009001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25">
      <c r="A17" s="13">
        <f t="shared" ref="A17:A37" si="1">A16+1</f>
        <v>16</v>
      </c>
      <c r="B17" s="60" t="s">
        <v>125</v>
      </c>
      <c r="C17" s="12">
        <v>99020006</v>
      </c>
      <c r="D17" s="13" t="s">
        <v>4</v>
      </c>
      <c r="E17" s="60" t="s">
        <v>196</v>
      </c>
      <c r="F17" s="15" t="s">
        <v>35</v>
      </c>
      <c r="G17" s="77">
        <v>200000</v>
      </c>
      <c r="H17" s="78">
        <v>46007</v>
      </c>
      <c r="I17" s="79" t="s">
        <v>40</v>
      </c>
      <c r="J17" s="80" t="s">
        <v>45</v>
      </c>
      <c r="K17" s="80">
        <v>5209009001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25">
      <c r="A18" s="13">
        <f t="shared" si="1"/>
        <v>17</v>
      </c>
      <c r="B18" s="60" t="s">
        <v>143</v>
      </c>
      <c r="C18" s="12">
        <v>99007201</v>
      </c>
      <c r="D18" s="13" t="s">
        <v>4</v>
      </c>
      <c r="E18" s="60" t="s">
        <v>214</v>
      </c>
      <c r="F18" s="15" t="s">
        <v>35</v>
      </c>
      <c r="G18" s="77">
        <v>0</v>
      </c>
      <c r="H18" s="78">
        <v>46002</v>
      </c>
      <c r="I18" s="79" t="s">
        <v>40</v>
      </c>
      <c r="J18" s="80" t="s">
        <v>45</v>
      </c>
      <c r="K18" s="80">
        <v>5209009001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25">
      <c r="A19" s="13">
        <f t="shared" si="1"/>
        <v>18</v>
      </c>
      <c r="B19" s="60" t="s">
        <v>146</v>
      </c>
      <c r="C19" s="12">
        <v>99845058</v>
      </c>
      <c r="D19" s="13" t="s">
        <v>4</v>
      </c>
      <c r="E19" s="60" t="s">
        <v>205</v>
      </c>
      <c r="F19" s="15" t="s">
        <v>35</v>
      </c>
      <c r="G19" s="77">
        <v>400000</v>
      </c>
      <c r="H19" s="78">
        <v>46002</v>
      </c>
      <c r="I19" s="79" t="s">
        <v>40</v>
      </c>
      <c r="J19" s="80" t="s">
        <v>45</v>
      </c>
      <c r="K19" s="80">
        <v>5209009001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25">
      <c r="A20" s="13">
        <f t="shared" si="1"/>
        <v>19</v>
      </c>
      <c r="B20" s="60" t="s">
        <v>128</v>
      </c>
      <c r="C20" s="12">
        <v>99182520</v>
      </c>
      <c r="D20" s="13" t="s">
        <v>4</v>
      </c>
      <c r="E20" s="60" t="s">
        <v>198</v>
      </c>
      <c r="F20" s="15" t="s">
        <v>35</v>
      </c>
      <c r="G20" s="77">
        <v>400000</v>
      </c>
      <c r="H20" s="78">
        <v>45999</v>
      </c>
      <c r="I20" s="79" t="s">
        <v>40</v>
      </c>
      <c r="J20" s="80" t="s">
        <v>45</v>
      </c>
      <c r="K20" s="80">
        <v>5209009001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25">
      <c r="A21" s="13">
        <f t="shared" si="1"/>
        <v>20</v>
      </c>
      <c r="B21" s="60" t="s">
        <v>134</v>
      </c>
      <c r="C21" s="12">
        <v>86545719</v>
      </c>
      <c r="D21" s="13" t="s">
        <v>4</v>
      </c>
      <c r="E21" s="60" t="s">
        <v>197</v>
      </c>
      <c r="F21" s="15" t="s">
        <v>35</v>
      </c>
      <c r="G21" s="77">
        <v>200000</v>
      </c>
      <c r="H21" s="78">
        <v>46000</v>
      </c>
      <c r="I21" s="79" t="s">
        <v>40</v>
      </c>
      <c r="J21" s="80" t="s">
        <v>45</v>
      </c>
      <c r="K21" s="80">
        <v>5209009001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25">
      <c r="A22" s="13">
        <f t="shared" si="1"/>
        <v>21</v>
      </c>
      <c r="B22" s="60" t="s">
        <v>139</v>
      </c>
      <c r="C22" s="12">
        <v>91919977</v>
      </c>
      <c r="D22" s="13" t="s">
        <v>4</v>
      </c>
      <c r="E22" s="60" t="s">
        <v>191</v>
      </c>
      <c r="F22" s="89" t="s">
        <v>35</v>
      </c>
      <c r="G22" s="82">
        <v>250000</v>
      </c>
      <c r="H22" s="90">
        <v>45996</v>
      </c>
      <c r="I22" s="91" t="s">
        <v>40</v>
      </c>
      <c r="J22" s="91" t="s">
        <v>251</v>
      </c>
      <c r="K22" s="91">
        <v>5027586600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25">
      <c r="A23" s="13">
        <f t="shared" si="1"/>
        <v>22</v>
      </c>
      <c r="B23" s="60" t="s">
        <v>126</v>
      </c>
      <c r="C23" s="12">
        <v>99040198</v>
      </c>
      <c r="D23" s="13" t="s">
        <v>4</v>
      </c>
      <c r="E23" s="60" t="s">
        <v>207</v>
      </c>
      <c r="F23" s="15" t="s">
        <v>35</v>
      </c>
      <c r="G23" s="77">
        <v>200000</v>
      </c>
      <c r="H23" s="78">
        <v>46005</v>
      </c>
      <c r="I23" s="79" t="s">
        <v>40</v>
      </c>
      <c r="J23" s="80" t="s">
        <v>45</v>
      </c>
      <c r="K23" s="80">
        <v>5209009001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25">
      <c r="A24" s="13">
        <f t="shared" si="1"/>
        <v>23</v>
      </c>
      <c r="B24" s="60" t="s">
        <v>137</v>
      </c>
      <c r="C24" s="12">
        <v>89119452</v>
      </c>
      <c r="D24" s="13" t="s">
        <v>4</v>
      </c>
      <c r="E24" s="60" t="s">
        <v>202</v>
      </c>
      <c r="F24" s="15" t="s">
        <v>35</v>
      </c>
      <c r="G24" s="77">
        <v>200000</v>
      </c>
      <c r="H24" s="78">
        <v>45999</v>
      </c>
      <c r="I24" s="79" t="s">
        <v>40</v>
      </c>
      <c r="J24" s="80" t="s">
        <v>45</v>
      </c>
      <c r="K24" s="80">
        <v>5209009001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25">
      <c r="A25" s="13">
        <f t="shared" si="1"/>
        <v>24</v>
      </c>
      <c r="B25" s="60" t="s">
        <v>140</v>
      </c>
      <c r="C25" s="12">
        <v>94079809</v>
      </c>
      <c r="D25" s="13" t="s">
        <v>4</v>
      </c>
      <c r="E25" s="60" t="s">
        <v>216</v>
      </c>
      <c r="F25" s="15" t="s">
        <v>35</v>
      </c>
      <c r="G25" s="77">
        <v>200000</v>
      </c>
      <c r="H25" s="78">
        <v>46000</v>
      </c>
      <c r="I25" s="79" t="s">
        <v>40</v>
      </c>
      <c r="J25" s="80" t="s">
        <v>45</v>
      </c>
      <c r="K25" s="80">
        <v>5209009001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25">
      <c r="A26" s="13">
        <f t="shared" si="1"/>
        <v>25</v>
      </c>
      <c r="B26" s="92" t="s">
        <v>119</v>
      </c>
      <c r="C26" s="12">
        <v>88080268</v>
      </c>
      <c r="D26" s="13" t="s">
        <v>4</v>
      </c>
      <c r="E26" s="60" t="s">
        <v>203</v>
      </c>
      <c r="F26" s="13"/>
      <c r="G26" s="13"/>
      <c r="H26" s="68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25">
      <c r="A27" s="13">
        <f t="shared" si="1"/>
        <v>26</v>
      </c>
      <c r="B27" s="60" t="s">
        <v>152</v>
      </c>
      <c r="C27" s="12">
        <v>99601583</v>
      </c>
      <c r="D27" s="13" t="s">
        <v>4</v>
      </c>
      <c r="E27" s="60" t="s">
        <v>228</v>
      </c>
      <c r="F27" s="87" t="s">
        <v>35</v>
      </c>
      <c r="G27" s="83">
        <v>200000</v>
      </c>
      <c r="H27" s="88">
        <v>46007</v>
      </c>
      <c r="I27" s="79" t="s">
        <v>40</v>
      </c>
      <c r="J27" s="79" t="s">
        <v>45</v>
      </c>
      <c r="K27" s="79">
        <v>5209009001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13">
        <f t="shared" si="1"/>
        <v>27</v>
      </c>
      <c r="B28" s="60" t="s">
        <v>144</v>
      </c>
      <c r="C28" s="12">
        <v>99442127</v>
      </c>
      <c r="D28" s="13" t="s">
        <v>4</v>
      </c>
      <c r="E28" s="60" t="s">
        <v>190</v>
      </c>
      <c r="F28" s="13"/>
      <c r="G28" s="13"/>
      <c r="H28" s="6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25">
      <c r="A29" s="13">
        <f t="shared" si="1"/>
        <v>28</v>
      </c>
      <c r="B29" s="60" t="s">
        <v>133</v>
      </c>
      <c r="C29" s="12">
        <v>80000544</v>
      </c>
      <c r="D29" s="13" t="s">
        <v>4</v>
      </c>
      <c r="E29" s="60" t="s">
        <v>200</v>
      </c>
      <c r="F29" s="13"/>
      <c r="G29" s="13"/>
      <c r="H29" s="6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25">
      <c r="A30" s="13">
        <f t="shared" si="1"/>
        <v>29</v>
      </c>
      <c r="B30" s="92" t="s">
        <v>145</v>
      </c>
      <c r="C30" s="12">
        <v>99693685</v>
      </c>
      <c r="D30" s="13" t="s">
        <v>4</v>
      </c>
      <c r="E30" s="60" t="s">
        <v>213</v>
      </c>
      <c r="F30" s="13"/>
      <c r="G30" s="13"/>
      <c r="H30" s="6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25">
      <c r="A31" s="13">
        <f t="shared" si="1"/>
        <v>30</v>
      </c>
      <c r="B31" s="60" t="s">
        <v>123</v>
      </c>
      <c r="C31" s="12">
        <v>94044104</v>
      </c>
      <c r="D31" s="13" t="s">
        <v>4</v>
      </c>
      <c r="E31" s="60" t="s">
        <v>208</v>
      </c>
      <c r="F31" s="15" t="s">
        <v>35</v>
      </c>
      <c r="G31" s="77">
        <v>200000</v>
      </c>
      <c r="H31" s="78">
        <v>46002</v>
      </c>
      <c r="I31" s="79" t="s">
        <v>40</v>
      </c>
      <c r="J31" s="80" t="s">
        <v>45</v>
      </c>
      <c r="K31" s="80">
        <v>5209009001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25">
      <c r="A32" s="13">
        <f t="shared" si="1"/>
        <v>31</v>
      </c>
      <c r="B32" s="60" t="s">
        <v>135</v>
      </c>
      <c r="C32" s="12">
        <v>88089842</v>
      </c>
      <c r="D32" s="13" t="s">
        <v>4</v>
      </c>
      <c r="E32" s="60" t="s">
        <v>199</v>
      </c>
      <c r="F32" s="15" t="s">
        <v>35</v>
      </c>
      <c r="G32" s="77">
        <v>200000</v>
      </c>
      <c r="H32" s="78">
        <v>46000</v>
      </c>
      <c r="I32" s="79" t="s">
        <v>40</v>
      </c>
      <c r="J32" s="80" t="s">
        <v>45</v>
      </c>
      <c r="K32" s="80">
        <v>5209009001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25">
      <c r="A33" s="13">
        <f t="shared" si="1"/>
        <v>32</v>
      </c>
      <c r="B33" s="92" t="s">
        <v>124</v>
      </c>
      <c r="C33" s="12">
        <v>94289442</v>
      </c>
      <c r="D33" s="13" t="s">
        <v>4</v>
      </c>
      <c r="E33" s="60" t="s">
        <v>194</v>
      </c>
      <c r="F33" s="13"/>
      <c r="G33" s="13"/>
      <c r="H33" s="6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25">
      <c r="A34" s="13">
        <f t="shared" si="1"/>
        <v>33</v>
      </c>
      <c r="B34" s="60" t="s">
        <v>141</v>
      </c>
      <c r="C34" s="35">
        <v>94109575</v>
      </c>
      <c r="D34" s="13" t="s">
        <v>4</v>
      </c>
      <c r="E34" s="60" t="s">
        <v>209</v>
      </c>
      <c r="F34" s="14"/>
      <c r="G34" s="14"/>
      <c r="H34" s="69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13">
        <f t="shared" si="1"/>
        <v>34</v>
      </c>
      <c r="B35" s="60" t="s">
        <v>247</v>
      </c>
      <c r="C35" s="35"/>
      <c r="D35" s="13" t="s">
        <v>4</v>
      </c>
      <c r="E35" s="60" t="s">
        <v>249</v>
      </c>
      <c r="F35" s="14"/>
      <c r="G35" s="14"/>
      <c r="H35" s="69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13">
        <f t="shared" si="1"/>
        <v>35</v>
      </c>
      <c r="B36" s="60" t="s">
        <v>132</v>
      </c>
      <c r="C36" s="12">
        <v>99901839</v>
      </c>
      <c r="D36" s="13" t="s">
        <v>4</v>
      </c>
      <c r="E36" s="13" t="s">
        <v>210</v>
      </c>
      <c r="F36" s="15" t="s">
        <v>35</v>
      </c>
      <c r="G36" s="77">
        <v>200000</v>
      </c>
      <c r="H36" s="78">
        <v>46016</v>
      </c>
      <c r="I36" s="79" t="s">
        <v>40</v>
      </c>
      <c r="J36" s="80" t="s">
        <v>45</v>
      </c>
      <c r="K36" s="80">
        <v>5209009001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s="6" customFormat="1" x14ac:dyDescent="0.25">
      <c r="A37" s="13">
        <f t="shared" si="1"/>
        <v>36</v>
      </c>
      <c r="B37" s="60" t="s">
        <v>116</v>
      </c>
      <c r="C37" s="12">
        <v>80807217</v>
      </c>
      <c r="D37" s="13" t="s">
        <v>4</v>
      </c>
      <c r="E37" s="60" t="s">
        <v>211</v>
      </c>
      <c r="F37" s="15" t="s">
        <v>35</v>
      </c>
      <c r="G37" s="77">
        <v>200000</v>
      </c>
      <c r="H37" s="78">
        <v>46016</v>
      </c>
      <c r="I37" s="79" t="s">
        <v>40</v>
      </c>
      <c r="J37" s="80" t="s">
        <v>45</v>
      </c>
      <c r="K37" s="80">
        <v>5209009001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</sheetData>
  <autoFilter ref="A1:X1" xr:uid="{BBA9ECA6-15EB-401E-A80F-6F067F62F7F2}"/>
  <dataValidations count="4">
    <dataValidation type="list" allowBlank="1" showInputMessage="1" showErrorMessage="1" sqref="T19:V19 L2 M28:P28 L3:M4 P3:P4 L5:L20 P33 L22:L37 M37:P37 R2:R37 F2:F37" xr:uid="{BE54A128-0E8F-41D4-B358-C2B8EAC65E0C}">
      <formula1>"Төлсөн,Төлөөгүй,Тайлбартай,Суугаагүй"</formula1>
    </dataValidation>
    <dataValidation type="list" allowBlank="1" showInputMessage="1" showErrorMessage="1" sqref="N29:N36 T20:T37 I22 T2:T18 I28:I29 I14:I15 I17 I12 I3:I6 N2:N27" xr:uid="{EC7B469B-477D-4399-97FA-C73F34473FB5}">
      <formula1>"Данс,Бэлэн,Данс бэлэн"</formula1>
    </dataValidation>
    <dataValidation type="list" allowBlank="1" showInputMessage="1" showErrorMessage="1" sqref="V2:V3 V7 V9 V20:V25 V27 V33:V35 V5 P29:P32 P2 P5:P27 P34:P36 V29:V31 V12:V18 J2:J37" xr:uid="{35D392B7-08C3-4F5A-A62D-3241143E4B8F}">
      <formula1>"Хаан,Голомт"</formula1>
    </dataValidation>
    <dataValidation type="list" allowBlank="1" showInputMessage="1" showErrorMessage="1" sqref="L21" xr:uid="{B2D0A864-1790-416D-BC10-C77576376F43}">
      <formula1>"Төлсөн,Төлөөгүй,Тайлбартай"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ED4-57DD-4352-A162-BA2077FCC3A3}">
  <dimension ref="A1:AC82"/>
  <sheetViews>
    <sheetView workbookViewId="0">
      <selection activeCell="AC58" sqref="AC58"/>
    </sheetView>
  </sheetViews>
  <sheetFormatPr defaultRowHeight="15" x14ac:dyDescent="0.25"/>
  <cols>
    <col min="1" max="1" width="4.5703125" customWidth="1"/>
    <col min="2" max="2" width="14" customWidth="1"/>
    <col min="3" max="3" width="10.42578125" customWidth="1"/>
    <col min="4" max="4" width="18.85546875" customWidth="1"/>
    <col min="5" max="5" width="11.7109375" hidden="1" customWidth="1"/>
    <col min="6" max="6" width="13.7109375" hidden="1" customWidth="1"/>
    <col min="7" max="7" width="11.140625" hidden="1" customWidth="1"/>
    <col min="8" max="8" width="15.140625" style="112" hidden="1" customWidth="1"/>
    <col min="9" max="9" width="5" hidden="1" customWidth="1"/>
    <col min="10" max="10" width="10" style="18" hidden="1" customWidth="1"/>
    <col min="11" max="11" width="14.28515625" hidden="1" customWidth="1"/>
    <col min="12" max="12" width="12.5703125" hidden="1" customWidth="1"/>
    <col min="13" max="13" width="11.140625" hidden="1" customWidth="1"/>
    <col min="14" max="14" width="13.7109375" hidden="1" customWidth="1"/>
    <col min="15" max="15" width="6.42578125" hidden="1" customWidth="1"/>
    <col min="16" max="17" width="10" hidden="1" customWidth="1"/>
    <col min="18" max="18" width="12.5703125" hidden="1" customWidth="1"/>
    <col min="19" max="19" width="15.42578125" hidden="1" customWidth="1"/>
    <col min="20" max="20" width="16.140625" hidden="1" customWidth="1"/>
    <col min="21" max="21" width="0" hidden="1" customWidth="1"/>
    <col min="22" max="22" width="3.28515625" hidden="1" customWidth="1"/>
    <col min="23" max="24" width="11.42578125" customWidth="1"/>
    <col min="25" max="25" width="13.5703125" style="75" customWidth="1"/>
    <col min="26" max="26" width="16.140625" customWidth="1"/>
    <col min="27" max="28" width="11.42578125" customWidth="1"/>
    <col min="29" max="29" width="36.5703125" customWidth="1"/>
  </cols>
  <sheetData>
    <row r="1" spans="1:29" ht="35.25" customHeight="1" x14ac:dyDescent="0.25">
      <c r="A1" s="7" t="s">
        <v>0</v>
      </c>
      <c r="B1" s="7" t="s">
        <v>1</v>
      </c>
      <c r="C1" s="7" t="s">
        <v>2</v>
      </c>
      <c r="D1" s="7" t="s">
        <v>48</v>
      </c>
      <c r="E1" s="7" t="s">
        <v>253</v>
      </c>
      <c r="F1" s="95" t="s">
        <v>49</v>
      </c>
      <c r="G1" s="7" t="s">
        <v>50</v>
      </c>
      <c r="H1" s="7" t="s">
        <v>51</v>
      </c>
      <c r="I1" s="96" t="s">
        <v>44</v>
      </c>
      <c r="J1" s="96" t="s">
        <v>43</v>
      </c>
      <c r="K1" s="7" t="s">
        <v>254</v>
      </c>
      <c r="L1" s="95" t="s">
        <v>49</v>
      </c>
      <c r="M1" s="7" t="s">
        <v>50</v>
      </c>
      <c r="N1" s="7" t="s">
        <v>51</v>
      </c>
      <c r="O1" s="96" t="s">
        <v>44</v>
      </c>
      <c r="P1" s="96" t="s">
        <v>43</v>
      </c>
      <c r="Q1" s="7" t="s">
        <v>255</v>
      </c>
      <c r="R1" s="95" t="s">
        <v>49</v>
      </c>
      <c r="S1" s="7" t="s">
        <v>50</v>
      </c>
      <c r="T1" s="7" t="s">
        <v>51</v>
      </c>
      <c r="U1" s="96" t="s">
        <v>44</v>
      </c>
      <c r="V1" s="96" t="s">
        <v>43</v>
      </c>
      <c r="W1" s="7" t="s">
        <v>326</v>
      </c>
      <c r="X1" s="95" t="s">
        <v>49</v>
      </c>
      <c r="Y1" s="7" t="s">
        <v>50</v>
      </c>
      <c r="Z1" s="7" t="s">
        <v>51</v>
      </c>
      <c r="AA1" s="96" t="s">
        <v>44</v>
      </c>
      <c r="AB1" s="96" t="s">
        <v>43</v>
      </c>
      <c r="AC1" s="96" t="s">
        <v>34</v>
      </c>
    </row>
    <row r="2" spans="1:29" x14ac:dyDescent="0.25">
      <c r="A2" s="8">
        <v>1</v>
      </c>
      <c r="B2" s="12" t="s">
        <v>256</v>
      </c>
      <c r="C2" s="9"/>
      <c r="D2" s="8" t="s">
        <v>52</v>
      </c>
      <c r="E2" s="97" t="s">
        <v>257</v>
      </c>
      <c r="F2" s="98"/>
      <c r="G2" s="9"/>
      <c r="H2" s="97"/>
      <c r="I2" s="9"/>
      <c r="J2" s="8"/>
      <c r="K2" s="97" t="s">
        <v>257</v>
      </c>
      <c r="L2" s="8"/>
      <c r="M2" s="8"/>
      <c r="N2" s="8"/>
      <c r="O2" s="8"/>
      <c r="P2" s="8"/>
      <c r="Q2" s="14" t="s">
        <v>35</v>
      </c>
      <c r="R2" s="11">
        <v>50000</v>
      </c>
      <c r="S2" s="99">
        <v>45962</v>
      </c>
      <c r="T2" s="14" t="s">
        <v>40</v>
      </c>
      <c r="U2" s="16" t="s">
        <v>251</v>
      </c>
      <c r="V2" s="17">
        <v>5163731646</v>
      </c>
      <c r="W2" s="87" t="s">
        <v>35</v>
      </c>
      <c r="X2" s="119">
        <v>50000</v>
      </c>
      <c r="Y2" s="120">
        <v>46001</v>
      </c>
      <c r="Z2" s="79" t="s">
        <v>40</v>
      </c>
      <c r="AA2" s="79" t="s">
        <v>251</v>
      </c>
      <c r="AB2" s="121">
        <v>5163731642</v>
      </c>
      <c r="AC2" s="97"/>
    </row>
    <row r="3" spans="1:29" x14ac:dyDescent="0.25">
      <c r="A3" s="8">
        <f>A2+1</f>
        <v>2</v>
      </c>
      <c r="B3" s="15" t="s">
        <v>330</v>
      </c>
      <c r="C3" s="9">
        <v>91141977</v>
      </c>
      <c r="D3" s="8" t="s">
        <v>52</v>
      </c>
      <c r="E3" s="97"/>
      <c r="F3" s="98"/>
      <c r="G3" s="9"/>
      <c r="H3" s="97"/>
      <c r="I3" s="9"/>
      <c r="J3" s="8"/>
      <c r="K3" s="97"/>
      <c r="L3" s="8"/>
      <c r="M3" s="8"/>
      <c r="N3" s="8"/>
      <c r="O3" s="8"/>
      <c r="P3" s="8"/>
      <c r="Q3" s="14"/>
      <c r="R3" s="11"/>
      <c r="S3" s="99"/>
      <c r="T3" s="14"/>
      <c r="U3" s="16"/>
      <c r="V3" s="17"/>
      <c r="W3" s="87" t="s">
        <v>35</v>
      </c>
      <c r="X3" s="119">
        <v>50000</v>
      </c>
      <c r="Y3" s="120">
        <v>46001</v>
      </c>
      <c r="Z3" s="79" t="s">
        <v>40</v>
      </c>
      <c r="AA3" s="79" t="s">
        <v>251</v>
      </c>
      <c r="AB3" s="121">
        <v>5163731642</v>
      </c>
      <c r="AC3" s="97"/>
    </row>
    <row r="4" spans="1:29" x14ac:dyDescent="0.25">
      <c r="A4" s="8">
        <f t="shared" ref="A4:A67" si="0">A3+1</f>
        <v>3</v>
      </c>
      <c r="B4" s="12" t="s">
        <v>258</v>
      </c>
      <c r="C4" s="9"/>
      <c r="D4" s="8" t="s">
        <v>52</v>
      </c>
      <c r="E4" s="33" t="s">
        <v>259</v>
      </c>
      <c r="F4" s="98"/>
      <c r="G4" s="9"/>
      <c r="H4" s="97"/>
      <c r="I4" s="9"/>
      <c r="J4" s="8"/>
      <c r="K4" s="33" t="s">
        <v>259</v>
      </c>
      <c r="L4" s="9"/>
      <c r="M4" s="9"/>
      <c r="N4" s="97"/>
      <c r="O4" s="97"/>
      <c r="P4" s="97"/>
      <c r="Q4" s="14" t="s">
        <v>257</v>
      </c>
      <c r="R4" s="12"/>
      <c r="S4" s="12"/>
      <c r="T4" s="14"/>
      <c r="U4" s="14"/>
      <c r="V4" s="14"/>
      <c r="W4" s="29" t="s">
        <v>257</v>
      </c>
      <c r="X4" s="43"/>
      <c r="Y4" s="14"/>
      <c r="Z4" s="17"/>
      <c r="AA4" s="17"/>
      <c r="AB4" s="14"/>
      <c r="AC4" s="97"/>
    </row>
    <row r="5" spans="1:29" x14ac:dyDescent="0.25">
      <c r="A5" s="8">
        <f t="shared" si="0"/>
        <v>4</v>
      </c>
      <c r="B5" s="12" t="s">
        <v>260</v>
      </c>
      <c r="C5" s="9"/>
      <c r="D5" s="8" t="s">
        <v>52</v>
      </c>
      <c r="E5" s="33" t="s">
        <v>259</v>
      </c>
      <c r="F5" s="98"/>
      <c r="G5" s="9"/>
      <c r="H5" s="97"/>
      <c r="I5" s="9"/>
      <c r="J5" s="8"/>
      <c r="K5" s="97" t="s">
        <v>257</v>
      </c>
      <c r="L5" s="9"/>
      <c r="M5" s="9"/>
      <c r="N5" s="97"/>
      <c r="O5" s="97"/>
      <c r="P5" s="97"/>
      <c r="Q5" s="14" t="s">
        <v>257</v>
      </c>
      <c r="R5" s="12"/>
      <c r="S5" s="12"/>
      <c r="T5" s="14"/>
      <c r="U5" s="14"/>
      <c r="V5" s="14"/>
      <c r="W5" s="29" t="s">
        <v>257</v>
      </c>
      <c r="X5" s="43"/>
      <c r="Y5" s="14"/>
      <c r="Z5" s="17"/>
      <c r="AA5" s="17"/>
      <c r="AB5" s="14"/>
      <c r="AC5" s="97"/>
    </row>
    <row r="6" spans="1:29" x14ac:dyDescent="0.25">
      <c r="A6" s="8">
        <f t="shared" si="0"/>
        <v>5</v>
      </c>
      <c r="B6" s="15" t="s">
        <v>340</v>
      </c>
      <c r="C6" s="23">
        <v>99099666</v>
      </c>
      <c r="D6" s="8" t="s">
        <v>52</v>
      </c>
      <c r="E6" s="33"/>
      <c r="F6" s="98"/>
      <c r="G6" s="9"/>
      <c r="H6" s="97"/>
      <c r="I6" s="9"/>
      <c r="J6" s="8"/>
      <c r="K6" s="97"/>
      <c r="L6" s="9"/>
      <c r="M6" s="9"/>
      <c r="N6" s="97"/>
      <c r="O6" s="97"/>
      <c r="P6" s="97"/>
      <c r="Q6" s="14"/>
      <c r="R6" s="12"/>
      <c r="S6" s="12"/>
      <c r="T6" s="14"/>
      <c r="U6" s="14"/>
      <c r="V6" s="14"/>
      <c r="W6" s="63" t="s">
        <v>259</v>
      </c>
      <c r="X6" s="43"/>
      <c r="Y6" s="14"/>
      <c r="Z6" s="17"/>
      <c r="AA6" s="17"/>
      <c r="AB6" s="14"/>
      <c r="AC6" s="97"/>
    </row>
    <row r="7" spans="1:29" x14ac:dyDescent="0.25">
      <c r="A7" s="8">
        <f t="shared" si="0"/>
        <v>6</v>
      </c>
      <c r="B7" s="12" t="s">
        <v>261</v>
      </c>
      <c r="C7" s="9"/>
      <c r="D7" s="8" t="s">
        <v>52</v>
      </c>
      <c r="E7" s="14" t="s">
        <v>35</v>
      </c>
      <c r="F7" s="11">
        <v>50000</v>
      </c>
      <c r="G7" s="99">
        <v>45947</v>
      </c>
      <c r="H7" s="14" t="s">
        <v>40</v>
      </c>
      <c r="I7" s="16" t="s">
        <v>251</v>
      </c>
      <c r="J7" s="13">
        <v>5163731642</v>
      </c>
      <c r="K7" s="14" t="s">
        <v>257</v>
      </c>
      <c r="L7" s="11"/>
      <c r="M7" s="99"/>
      <c r="N7" s="14"/>
      <c r="O7" s="16"/>
      <c r="P7" s="17"/>
      <c r="Q7" s="14" t="s">
        <v>35</v>
      </c>
      <c r="R7" s="11">
        <v>50000</v>
      </c>
      <c r="S7" s="99">
        <v>45976</v>
      </c>
      <c r="T7" s="14" t="s">
        <v>40</v>
      </c>
      <c r="U7" s="16" t="s">
        <v>251</v>
      </c>
      <c r="V7" s="17">
        <v>5163731653</v>
      </c>
      <c r="W7" s="29" t="s">
        <v>257</v>
      </c>
      <c r="X7" s="118"/>
      <c r="Y7" s="17"/>
      <c r="Z7" s="17"/>
      <c r="AA7" s="17"/>
      <c r="AB7" s="17"/>
      <c r="AC7" s="97"/>
    </row>
    <row r="8" spans="1:29" x14ac:dyDescent="0.25">
      <c r="A8" s="8">
        <f t="shared" si="0"/>
        <v>7</v>
      </c>
      <c r="B8" s="12" t="s">
        <v>262</v>
      </c>
      <c r="C8" s="9"/>
      <c r="D8" s="8" t="s">
        <v>52</v>
      </c>
      <c r="E8" s="100" t="s">
        <v>35</v>
      </c>
      <c r="F8" s="101">
        <v>50000</v>
      </c>
      <c r="G8" s="102">
        <v>45971</v>
      </c>
      <c r="H8" s="100" t="s">
        <v>40</v>
      </c>
      <c r="I8" s="12"/>
      <c r="J8" s="13"/>
      <c r="K8" s="103" t="s">
        <v>259</v>
      </c>
      <c r="L8" s="12"/>
      <c r="M8" s="99"/>
      <c r="N8" s="14"/>
      <c r="O8" s="14"/>
      <c r="P8" s="14"/>
      <c r="Q8" s="14" t="s">
        <v>35</v>
      </c>
      <c r="R8" s="11">
        <v>50000</v>
      </c>
      <c r="S8" s="99">
        <v>45966</v>
      </c>
      <c r="T8" s="14" t="s">
        <v>40</v>
      </c>
      <c r="U8" s="16" t="s">
        <v>45</v>
      </c>
      <c r="V8" s="17">
        <v>5209009001</v>
      </c>
      <c r="W8" s="87" t="s">
        <v>35</v>
      </c>
      <c r="X8" s="119">
        <v>50000</v>
      </c>
      <c r="Y8" s="120">
        <v>46008</v>
      </c>
      <c r="Z8" s="79" t="s">
        <v>40</v>
      </c>
      <c r="AA8" s="79" t="s">
        <v>251</v>
      </c>
      <c r="AB8" s="121">
        <v>5163731642</v>
      </c>
      <c r="AC8" s="97"/>
    </row>
    <row r="9" spans="1:29" x14ac:dyDescent="0.25">
      <c r="A9" s="8">
        <f t="shared" si="0"/>
        <v>8</v>
      </c>
      <c r="B9" s="12" t="s">
        <v>263</v>
      </c>
      <c r="C9" s="9">
        <v>94114574</v>
      </c>
      <c r="D9" s="8" t="s">
        <v>52</v>
      </c>
      <c r="E9" s="14" t="s">
        <v>35</v>
      </c>
      <c r="F9" s="11">
        <v>50000</v>
      </c>
      <c r="G9" s="99">
        <v>45913</v>
      </c>
      <c r="H9" s="14" t="s">
        <v>40</v>
      </c>
      <c r="I9" s="16" t="s">
        <v>251</v>
      </c>
      <c r="J9" s="17">
        <v>5163731642</v>
      </c>
      <c r="K9" s="14" t="s">
        <v>35</v>
      </c>
      <c r="L9" s="11">
        <v>50000</v>
      </c>
      <c r="M9" s="99">
        <v>45934</v>
      </c>
      <c r="N9" s="14" t="s">
        <v>40</v>
      </c>
      <c r="O9" s="16" t="s">
        <v>251</v>
      </c>
      <c r="P9" s="13">
        <v>5027586600</v>
      </c>
      <c r="Q9" s="14" t="s">
        <v>257</v>
      </c>
      <c r="R9" s="12"/>
      <c r="S9" s="99"/>
      <c r="T9" s="14"/>
      <c r="U9" s="14"/>
      <c r="V9" s="14"/>
      <c r="W9" s="29" t="s">
        <v>257</v>
      </c>
      <c r="X9" s="43"/>
      <c r="Y9" s="14"/>
      <c r="Z9" s="17"/>
      <c r="AA9" s="17"/>
      <c r="AB9" s="14"/>
      <c r="AC9" s="97"/>
    </row>
    <row r="10" spans="1:29" x14ac:dyDescent="0.25">
      <c r="A10" s="8">
        <f t="shared" si="0"/>
        <v>9</v>
      </c>
      <c r="B10" s="12" t="s">
        <v>264</v>
      </c>
      <c r="C10" s="9">
        <v>88092290</v>
      </c>
      <c r="D10" s="8" t="s">
        <v>52</v>
      </c>
      <c r="E10" s="14" t="s">
        <v>35</v>
      </c>
      <c r="F10" s="11">
        <v>50000</v>
      </c>
      <c r="G10" s="99">
        <v>45906</v>
      </c>
      <c r="H10" s="14" t="s">
        <v>40</v>
      </c>
      <c r="I10" s="16" t="s">
        <v>251</v>
      </c>
      <c r="J10" s="17">
        <v>5163731652</v>
      </c>
      <c r="K10" s="14" t="s">
        <v>35</v>
      </c>
      <c r="L10" s="11">
        <v>50000</v>
      </c>
      <c r="M10" s="99">
        <v>45938</v>
      </c>
      <c r="N10" s="14" t="s">
        <v>40</v>
      </c>
      <c r="O10" s="16" t="s">
        <v>251</v>
      </c>
      <c r="P10" s="17">
        <v>5163731642</v>
      </c>
      <c r="Q10" s="14" t="s">
        <v>35</v>
      </c>
      <c r="R10" s="11">
        <v>50000</v>
      </c>
      <c r="S10" s="99">
        <v>45969</v>
      </c>
      <c r="T10" s="14" t="s">
        <v>40</v>
      </c>
      <c r="U10" s="16" t="s">
        <v>45</v>
      </c>
      <c r="V10" s="17">
        <v>5209009001</v>
      </c>
      <c r="W10" s="29" t="s">
        <v>257</v>
      </c>
      <c r="X10" s="118"/>
      <c r="Y10" s="17"/>
      <c r="Z10" s="17"/>
      <c r="AA10" s="17"/>
      <c r="AB10" s="17"/>
      <c r="AC10" s="97"/>
    </row>
    <row r="11" spans="1:29" x14ac:dyDescent="0.25">
      <c r="A11" s="8">
        <f t="shared" si="0"/>
        <v>10</v>
      </c>
      <c r="B11" s="12" t="s">
        <v>265</v>
      </c>
      <c r="C11" s="9">
        <v>80111295</v>
      </c>
      <c r="D11" s="8" t="s">
        <v>52</v>
      </c>
      <c r="E11" s="14" t="s">
        <v>35</v>
      </c>
      <c r="F11" s="11">
        <v>50000</v>
      </c>
      <c r="G11" s="99">
        <v>45913</v>
      </c>
      <c r="H11" s="14" t="s">
        <v>40</v>
      </c>
      <c r="I11" s="16" t="s">
        <v>251</v>
      </c>
      <c r="J11" s="17">
        <v>5163731642</v>
      </c>
      <c r="K11" s="14" t="s">
        <v>35</v>
      </c>
      <c r="L11" s="11">
        <v>50000</v>
      </c>
      <c r="M11" s="99">
        <v>45934</v>
      </c>
      <c r="N11" s="14" t="s">
        <v>40</v>
      </c>
      <c r="O11" s="16" t="s">
        <v>251</v>
      </c>
      <c r="P11" s="17">
        <v>5163731642</v>
      </c>
      <c r="Q11" s="14" t="s">
        <v>35</v>
      </c>
      <c r="R11" s="11">
        <v>50000</v>
      </c>
      <c r="S11" s="99">
        <v>45962</v>
      </c>
      <c r="T11" s="14" t="s">
        <v>40</v>
      </c>
      <c r="U11" s="16" t="s">
        <v>45</v>
      </c>
      <c r="V11" s="17">
        <v>5209009001</v>
      </c>
      <c r="W11" s="87" t="s">
        <v>35</v>
      </c>
      <c r="X11" s="119">
        <v>50000</v>
      </c>
      <c r="Y11" s="120">
        <v>45994</v>
      </c>
      <c r="Z11" s="79" t="s">
        <v>40</v>
      </c>
      <c r="AA11" s="79" t="s">
        <v>251</v>
      </c>
      <c r="AB11" s="121">
        <v>5163731642</v>
      </c>
      <c r="AC11" s="97"/>
    </row>
    <row r="12" spans="1:29" x14ac:dyDescent="0.25">
      <c r="A12" s="8">
        <f t="shared" si="0"/>
        <v>11</v>
      </c>
      <c r="B12" s="12" t="s">
        <v>266</v>
      </c>
      <c r="C12" s="9"/>
      <c r="D12" s="8" t="s">
        <v>52</v>
      </c>
      <c r="E12" s="14" t="s">
        <v>35</v>
      </c>
      <c r="F12" s="11">
        <v>50000</v>
      </c>
      <c r="G12" s="99">
        <v>45909</v>
      </c>
      <c r="H12" s="14" t="s">
        <v>40</v>
      </c>
      <c r="I12" s="16" t="s">
        <v>251</v>
      </c>
      <c r="J12" s="17">
        <v>5163731642</v>
      </c>
      <c r="K12" s="14" t="s">
        <v>35</v>
      </c>
      <c r="L12" s="11">
        <v>50000</v>
      </c>
      <c r="M12" s="99">
        <v>45945</v>
      </c>
      <c r="N12" s="14" t="s">
        <v>41</v>
      </c>
      <c r="O12" s="14"/>
      <c r="P12" s="14"/>
      <c r="Q12" s="14" t="s">
        <v>257</v>
      </c>
      <c r="R12" s="12"/>
      <c r="S12" s="99"/>
      <c r="T12" s="14"/>
      <c r="U12" s="14"/>
      <c r="V12" s="14"/>
      <c r="W12" s="29" t="s">
        <v>257</v>
      </c>
      <c r="X12" s="43"/>
      <c r="Y12" s="14"/>
      <c r="Z12" s="17"/>
      <c r="AA12" s="17"/>
      <c r="AB12" s="14"/>
      <c r="AC12" s="97"/>
    </row>
    <row r="13" spans="1:29" x14ac:dyDescent="0.25">
      <c r="A13" s="8">
        <f t="shared" si="0"/>
        <v>12</v>
      </c>
      <c r="B13" s="12" t="s">
        <v>267</v>
      </c>
      <c r="C13" s="9"/>
      <c r="D13" s="8" t="s">
        <v>52</v>
      </c>
      <c r="E13" s="33" t="s">
        <v>259</v>
      </c>
      <c r="F13" s="98"/>
      <c r="G13" s="9"/>
      <c r="H13" s="97"/>
      <c r="I13" s="9"/>
      <c r="J13" s="8"/>
      <c r="K13" s="97" t="s">
        <v>257</v>
      </c>
      <c r="L13" s="9"/>
      <c r="M13" s="9"/>
      <c r="N13" s="97"/>
      <c r="O13" s="97"/>
      <c r="P13" s="97"/>
      <c r="Q13" s="14" t="s">
        <v>257</v>
      </c>
      <c r="R13" s="12"/>
      <c r="S13" s="12"/>
      <c r="T13" s="14"/>
      <c r="U13" s="14"/>
      <c r="V13" s="14"/>
      <c r="W13" s="29" t="s">
        <v>257</v>
      </c>
      <c r="X13" s="43"/>
      <c r="Y13" s="14"/>
      <c r="Z13" s="17"/>
      <c r="AA13" s="17"/>
      <c r="AB13" s="14"/>
      <c r="AC13" s="97"/>
    </row>
    <row r="14" spans="1:29" x14ac:dyDescent="0.25">
      <c r="A14" s="8">
        <f t="shared" si="0"/>
        <v>13</v>
      </c>
      <c r="B14" s="12" t="s">
        <v>332</v>
      </c>
      <c r="C14" s="9"/>
      <c r="D14" s="8" t="s">
        <v>52</v>
      </c>
      <c r="E14" s="33"/>
      <c r="F14" s="98"/>
      <c r="G14" s="9"/>
      <c r="H14" s="97"/>
      <c r="I14" s="9"/>
      <c r="J14" s="8"/>
      <c r="K14" s="97"/>
      <c r="L14" s="9"/>
      <c r="M14" s="9"/>
      <c r="N14" s="97"/>
      <c r="O14" s="97"/>
      <c r="P14" s="97"/>
      <c r="Q14" s="14"/>
      <c r="R14" s="12"/>
      <c r="S14" s="12"/>
      <c r="T14" s="14"/>
      <c r="U14" s="14"/>
      <c r="V14" s="14"/>
      <c r="W14" s="87" t="s">
        <v>35</v>
      </c>
      <c r="X14" s="119">
        <v>50000</v>
      </c>
      <c r="Y14" s="120">
        <v>46004</v>
      </c>
      <c r="Z14" s="79" t="s">
        <v>40</v>
      </c>
      <c r="AA14" s="79" t="s">
        <v>251</v>
      </c>
      <c r="AB14" s="121">
        <v>5163731642</v>
      </c>
      <c r="AC14" s="97"/>
    </row>
    <row r="15" spans="1:29" x14ac:dyDescent="0.25">
      <c r="A15" s="8">
        <f t="shared" si="0"/>
        <v>14</v>
      </c>
      <c r="B15" s="12" t="s">
        <v>268</v>
      </c>
      <c r="C15" s="9"/>
      <c r="D15" s="8" t="s">
        <v>52</v>
      </c>
      <c r="E15" s="33" t="s">
        <v>259</v>
      </c>
      <c r="F15" s="98"/>
      <c r="G15" s="9"/>
      <c r="H15" s="97"/>
      <c r="I15" s="9"/>
      <c r="J15" s="8"/>
      <c r="K15" s="97" t="s">
        <v>257</v>
      </c>
      <c r="L15" s="9"/>
      <c r="M15" s="9"/>
      <c r="N15" s="97"/>
      <c r="O15" s="97"/>
      <c r="P15" s="97"/>
      <c r="Q15" s="14" t="s">
        <v>257</v>
      </c>
      <c r="R15" s="12"/>
      <c r="S15" s="12"/>
      <c r="T15" s="14"/>
      <c r="U15" s="14"/>
      <c r="V15" s="14"/>
      <c r="W15" s="29" t="s">
        <v>257</v>
      </c>
      <c r="X15" s="43"/>
      <c r="Y15" s="14"/>
      <c r="Z15" s="17"/>
      <c r="AA15" s="17"/>
      <c r="AB15" s="14"/>
      <c r="AC15" s="97"/>
    </row>
    <row r="16" spans="1:29" x14ac:dyDescent="0.25">
      <c r="A16" s="8">
        <f t="shared" si="0"/>
        <v>15</v>
      </c>
      <c r="B16" s="12" t="s">
        <v>269</v>
      </c>
      <c r="C16" s="9">
        <v>99193880</v>
      </c>
      <c r="D16" s="8" t="s">
        <v>52</v>
      </c>
      <c r="E16" s="33" t="s">
        <v>259</v>
      </c>
      <c r="F16" s="98"/>
      <c r="G16" s="9"/>
      <c r="H16" s="97"/>
      <c r="I16" s="9"/>
      <c r="J16" s="8"/>
      <c r="K16" s="97" t="s">
        <v>257</v>
      </c>
      <c r="L16" s="9"/>
      <c r="M16" s="9"/>
      <c r="N16" s="97"/>
      <c r="O16" s="97"/>
      <c r="P16" s="97"/>
      <c r="Q16" s="14" t="s">
        <v>257</v>
      </c>
      <c r="R16" s="12"/>
      <c r="S16" s="12"/>
      <c r="T16" s="14"/>
      <c r="U16" s="14"/>
      <c r="V16" s="14"/>
      <c r="W16" s="29" t="s">
        <v>257</v>
      </c>
      <c r="X16" s="43"/>
      <c r="Y16" s="14"/>
      <c r="Z16" s="17"/>
      <c r="AA16" s="17"/>
      <c r="AB16" s="14"/>
      <c r="AC16" s="97"/>
    </row>
    <row r="17" spans="1:29" x14ac:dyDescent="0.25">
      <c r="A17" s="8">
        <f t="shared" si="0"/>
        <v>16</v>
      </c>
      <c r="B17" s="12" t="s">
        <v>270</v>
      </c>
      <c r="C17" s="9"/>
      <c r="D17" s="8" t="s">
        <v>52</v>
      </c>
      <c r="E17" s="33" t="s">
        <v>259</v>
      </c>
      <c r="F17" s="98"/>
      <c r="G17" s="9"/>
      <c r="H17" s="97"/>
      <c r="I17" s="9"/>
      <c r="J17" s="8"/>
      <c r="K17" s="14" t="s">
        <v>35</v>
      </c>
      <c r="L17" s="11">
        <v>50000</v>
      </c>
      <c r="M17" s="99">
        <v>45934</v>
      </c>
      <c r="N17" s="14" t="s">
        <v>40</v>
      </c>
      <c r="O17" s="16" t="s">
        <v>251</v>
      </c>
      <c r="P17" s="13">
        <v>5027586600</v>
      </c>
      <c r="Q17" s="14" t="s">
        <v>257</v>
      </c>
      <c r="R17" s="12"/>
      <c r="S17" s="12"/>
      <c r="T17" s="14"/>
      <c r="U17" s="14"/>
      <c r="V17" s="14"/>
      <c r="W17" s="29" t="s">
        <v>257</v>
      </c>
      <c r="X17" s="43"/>
      <c r="Y17" s="14"/>
      <c r="Z17" s="17"/>
      <c r="AA17" s="17"/>
      <c r="AB17" s="14"/>
      <c r="AC17" s="97"/>
    </row>
    <row r="18" spans="1:29" x14ac:dyDescent="0.25">
      <c r="A18" s="8">
        <f t="shared" si="0"/>
        <v>17</v>
      </c>
      <c r="B18" s="12" t="s">
        <v>271</v>
      </c>
      <c r="C18" s="9"/>
      <c r="D18" s="8" t="s">
        <v>52</v>
      </c>
      <c r="E18" s="33" t="s">
        <v>259</v>
      </c>
      <c r="F18" s="98"/>
      <c r="G18" s="9"/>
      <c r="H18" s="97"/>
      <c r="I18" s="9"/>
      <c r="J18" s="8"/>
      <c r="K18" s="14" t="s">
        <v>257</v>
      </c>
      <c r="L18" s="9"/>
      <c r="M18" s="9"/>
      <c r="N18" s="97"/>
      <c r="O18" s="97"/>
      <c r="P18" s="97"/>
      <c r="Q18" s="14" t="s">
        <v>35</v>
      </c>
      <c r="R18" s="11">
        <v>50000</v>
      </c>
      <c r="S18" s="99">
        <v>45910</v>
      </c>
      <c r="T18" s="14" t="s">
        <v>40</v>
      </c>
      <c r="U18" s="16" t="s">
        <v>251</v>
      </c>
      <c r="V18" s="17">
        <v>5163731656</v>
      </c>
      <c r="W18" s="29" t="s">
        <v>257</v>
      </c>
      <c r="X18" s="118"/>
      <c r="Y18" s="17"/>
      <c r="Z18" s="17"/>
      <c r="AA18" s="17"/>
      <c r="AB18" s="17"/>
      <c r="AC18" s="97"/>
    </row>
    <row r="19" spans="1:29" x14ac:dyDescent="0.25">
      <c r="A19" s="8">
        <f t="shared" si="0"/>
        <v>18</v>
      </c>
      <c r="B19" s="12" t="s">
        <v>272</v>
      </c>
      <c r="C19" s="9">
        <v>95094838</v>
      </c>
      <c r="D19" s="8" t="s">
        <v>52</v>
      </c>
      <c r="E19" s="14" t="s">
        <v>35</v>
      </c>
      <c r="F19" s="11">
        <v>50000</v>
      </c>
      <c r="G19" s="99">
        <v>45924</v>
      </c>
      <c r="H19" s="14" t="s">
        <v>41</v>
      </c>
      <c r="I19" s="12"/>
      <c r="J19" s="13"/>
      <c r="K19" s="14" t="s">
        <v>35</v>
      </c>
      <c r="L19" s="11">
        <v>50000</v>
      </c>
      <c r="M19" s="99">
        <v>45945</v>
      </c>
      <c r="N19" s="14" t="s">
        <v>41</v>
      </c>
      <c r="O19" s="12"/>
      <c r="P19" s="13"/>
      <c r="Q19" s="14" t="s">
        <v>35</v>
      </c>
      <c r="R19" s="11">
        <v>50000</v>
      </c>
      <c r="S19" s="99">
        <v>45969</v>
      </c>
      <c r="T19" s="14" t="s">
        <v>41</v>
      </c>
      <c r="U19" s="12"/>
      <c r="V19" s="13"/>
      <c r="W19" s="87" t="s">
        <v>35</v>
      </c>
      <c r="X19" s="119">
        <v>50000</v>
      </c>
      <c r="Y19" s="120">
        <v>45994</v>
      </c>
      <c r="Z19" s="121" t="s">
        <v>41</v>
      </c>
      <c r="AA19" s="79"/>
      <c r="AB19" s="80"/>
      <c r="AC19" s="97"/>
    </row>
    <row r="20" spans="1:29" x14ac:dyDescent="0.25">
      <c r="A20" s="8">
        <f t="shared" si="0"/>
        <v>19</v>
      </c>
      <c r="B20" s="15" t="s">
        <v>331</v>
      </c>
      <c r="C20" s="9">
        <v>85850470</v>
      </c>
      <c r="D20" s="8" t="s">
        <v>52</v>
      </c>
      <c r="E20" s="14"/>
      <c r="F20" s="11"/>
      <c r="G20" s="99"/>
      <c r="H20" s="14"/>
      <c r="I20" s="12"/>
      <c r="J20" s="13"/>
      <c r="K20" s="14"/>
      <c r="L20" s="11"/>
      <c r="M20" s="99"/>
      <c r="N20" s="14"/>
      <c r="O20" s="12"/>
      <c r="P20" s="13"/>
      <c r="Q20" s="14"/>
      <c r="R20" s="11"/>
      <c r="S20" s="99"/>
      <c r="T20" s="14"/>
      <c r="U20" s="12"/>
      <c r="V20" s="13"/>
      <c r="W20" s="87" t="s">
        <v>35</v>
      </c>
      <c r="X20" s="119">
        <v>50000</v>
      </c>
      <c r="Y20" s="120">
        <v>46001</v>
      </c>
      <c r="Z20" s="79" t="s">
        <v>40</v>
      </c>
      <c r="AA20" s="79" t="s">
        <v>251</v>
      </c>
      <c r="AB20" s="121">
        <v>5163731642</v>
      </c>
      <c r="AC20" s="97"/>
    </row>
    <row r="21" spans="1:29" x14ac:dyDescent="0.25">
      <c r="A21" s="8">
        <f t="shared" si="0"/>
        <v>20</v>
      </c>
      <c r="B21" s="12" t="s">
        <v>273</v>
      </c>
      <c r="C21" s="9"/>
      <c r="D21" s="8" t="s">
        <v>52</v>
      </c>
      <c r="E21" s="97" t="s">
        <v>257</v>
      </c>
      <c r="F21" s="98"/>
      <c r="G21" s="9"/>
      <c r="H21" s="97"/>
      <c r="I21" s="9"/>
      <c r="J21" s="8"/>
      <c r="K21" s="14" t="s">
        <v>35</v>
      </c>
      <c r="L21" s="11">
        <v>50000</v>
      </c>
      <c r="M21" s="99">
        <v>45941</v>
      </c>
      <c r="N21" s="14" t="s">
        <v>40</v>
      </c>
      <c r="O21" s="16" t="s">
        <v>251</v>
      </c>
      <c r="P21" s="17">
        <v>5163731642</v>
      </c>
      <c r="Q21" s="100" t="s">
        <v>35</v>
      </c>
      <c r="R21" s="104">
        <v>50000</v>
      </c>
      <c r="S21" s="105">
        <v>45966</v>
      </c>
      <c r="T21" s="14"/>
      <c r="U21" s="14"/>
      <c r="V21" s="14"/>
      <c r="W21" s="29" t="s">
        <v>257</v>
      </c>
      <c r="X21" s="43"/>
      <c r="Y21" s="14"/>
      <c r="Z21" s="17"/>
      <c r="AA21" s="17"/>
      <c r="AB21" s="14"/>
      <c r="AC21" s="97"/>
    </row>
    <row r="22" spans="1:29" x14ac:dyDescent="0.25">
      <c r="A22" s="8">
        <f t="shared" si="0"/>
        <v>21</v>
      </c>
      <c r="B22" s="12" t="s">
        <v>274</v>
      </c>
      <c r="C22" s="9">
        <v>99977545</v>
      </c>
      <c r="D22" s="8" t="s">
        <v>52</v>
      </c>
      <c r="E22" s="14" t="s">
        <v>35</v>
      </c>
      <c r="F22" s="11">
        <v>50000</v>
      </c>
      <c r="G22" s="99">
        <v>45903</v>
      </c>
      <c r="H22" s="14" t="s">
        <v>40</v>
      </c>
      <c r="I22" s="16" t="s">
        <v>251</v>
      </c>
      <c r="J22" s="17">
        <v>5163731642</v>
      </c>
      <c r="K22" s="14" t="s">
        <v>35</v>
      </c>
      <c r="L22" s="11">
        <v>50000</v>
      </c>
      <c r="M22" s="99">
        <v>45938</v>
      </c>
      <c r="N22" s="14" t="s">
        <v>40</v>
      </c>
      <c r="O22" s="16" t="s">
        <v>251</v>
      </c>
      <c r="P22" s="17">
        <v>5163731642</v>
      </c>
      <c r="Q22" s="14" t="s">
        <v>35</v>
      </c>
      <c r="R22" s="11">
        <v>50000</v>
      </c>
      <c r="S22" s="99">
        <v>45969</v>
      </c>
      <c r="T22" s="14" t="s">
        <v>40</v>
      </c>
      <c r="U22" s="16" t="s">
        <v>45</v>
      </c>
      <c r="V22" s="17">
        <v>5209009001</v>
      </c>
      <c r="W22" s="87" t="s">
        <v>35</v>
      </c>
      <c r="X22" s="119">
        <v>50000</v>
      </c>
      <c r="Y22" s="120">
        <v>45997</v>
      </c>
      <c r="Z22" s="79" t="s">
        <v>40</v>
      </c>
      <c r="AA22" s="79" t="s">
        <v>251</v>
      </c>
      <c r="AB22" s="121">
        <v>5163731642</v>
      </c>
      <c r="AC22" s="97"/>
    </row>
    <row r="23" spans="1:29" x14ac:dyDescent="0.25">
      <c r="A23" s="8">
        <f t="shared" si="0"/>
        <v>22</v>
      </c>
      <c r="B23" s="12" t="s">
        <v>275</v>
      </c>
      <c r="C23" s="9">
        <v>88089364</v>
      </c>
      <c r="D23" s="8" t="s">
        <v>52</v>
      </c>
      <c r="E23" s="14" t="s">
        <v>35</v>
      </c>
      <c r="F23" s="11">
        <v>50000</v>
      </c>
      <c r="G23" s="99">
        <v>45906</v>
      </c>
      <c r="H23" s="14" t="s">
        <v>41</v>
      </c>
      <c r="I23" s="12"/>
      <c r="J23" s="13"/>
      <c r="K23" s="14" t="s">
        <v>35</v>
      </c>
      <c r="L23" s="11">
        <v>50000</v>
      </c>
      <c r="M23" s="99">
        <v>45941</v>
      </c>
      <c r="N23" s="14" t="s">
        <v>40</v>
      </c>
      <c r="O23" s="16" t="s">
        <v>251</v>
      </c>
      <c r="P23" s="17">
        <v>5163731642</v>
      </c>
      <c r="Q23" s="14" t="s">
        <v>257</v>
      </c>
      <c r="R23" s="12"/>
      <c r="S23" s="99"/>
      <c r="T23" s="14"/>
      <c r="U23" s="14"/>
      <c r="V23" s="14"/>
      <c r="W23" s="29" t="s">
        <v>257</v>
      </c>
      <c r="X23" s="43"/>
      <c r="Y23" s="14"/>
      <c r="Z23" s="17"/>
      <c r="AA23" s="17"/>
      <c r="AB23" s="14"/>
      <c r="AC23" s="97"/>
    </row>
    <row r="24" spans="1:29" x14ac:dyDescent="0.25">
      <c r="A24" s="8">
        <f t="shared" si="0"/>
        <v>23</v>
      </c>
      <c r="B24" s="15" t="s">
        <v>329</v>
      </c>
      <c r="C24" s="9">
        <v>88066908</v>
      </c>
      <c r="D24" s="8" t="s">
        <v>52</v>
      </c>
      <c r="E24" s="14"/>
      <c r="F24" s="11"/>
      <c r="G24" s="99"/>
      <c r="H24" s="14"/>
      <c r="I24" s="12"/>
      <c r="J24" s="13"/>
      <c r="K24" s="14"/>
      <c r="L24" s="11"/>
      <c r="M24" s="99"/>
      <c r="N24" s="14"/>
      <c r="O24" s="16"/>
      <c r="P24" s="17"/>
      <c r="Q24" s="14"/>
      <c r="R24" s="12"/>
      <c r="S24" s="99"/>
      <c r="T24" s="14"/>
      <c r="U24" s="14"/>
      <c r="V24" s="14"/>
      <c r="W24" s="87" t="s">
        <v>35</v>
      </c>
      <c r="X24" s="119">
        <v>50000</v>
      </c>
      <c r="Y24" s="120">
        <v>46001</v>
      </c>
      <c r="Z24" s="79" t="s">
        <v>40</v>
      </c>
      <c r="AA24" s="79" t="s">
        <v>251</v>
      </c>
      <c r="AB24" s="121">
        <v>5163731642</v>
      </c>
      <c r="AC24" s="97"/>
    </row>
    <row r="25" spans="1:29" x14ac:dyDescent="0.25">
      <c r="A25" s="8">
        <f t="shared" si="0"/>
        <v>24</v>
      </c>
      <c r="B25" s="12" t="s">
        <v>276</v>
      </c>
      <c r="C25" s="9">
        <v>99173366</v>
      </c>
      <c r="D25" s="8" t="s">
        <v>52</v>
      </c>
      <c r="E25" s="14" t="s">
        <v>35</v>
      </c>
      <c r="F25" s="11">
        <v>50000</v>
      </c>
      <c r="G25" s="99">
        <v>45910</v>
      </c>
      <c r="H25" s="14" t="s">
        <v>41</v>
      </c>
      <c r="I25" s="12"/>
      <c r="J25" s="13"/>
      <c r="K25" s="14" t="s">
        <v>35</v>
      </c>
      <c r="L25" s="11">
        <v>50000</v>
      </c>
      <c r="M25" s="99">
        <v>45941</v>
      </c>
      <c r="N25" s="14" t="s">
        <v>41</v>
      </c>
      <c r="O25" s="14"/>
      <c r="P25" s="14"/>
      <c r="Q25" s="14" t="s">
        <v>35</v>
      </c>
      <c r="R25" s="11">
        <v>50000</v>
      </c>
      <c r="S25" s="99">
        <v>45966</v>
      </c>
      <c r="T25" s="14" t="s">
        <v>41</v>
      </c>
      <c r="U25" s="14"/>
      <c r="V25" s="14"/>
      <c r="W25" s="87" t="s">
        <v>35</v>
      </c>
      <c r="X25" s="119">
        <v>50000</v>
      </c>
      <c r="Y25" s="120">
        <v>45994</v>
      </c>
      <c r="Z25" s="121" t="s">
        <v>41</v>
      </c>
      <c r="AA25" s="79"/>
      <c r="AB25" s="121"/>
      <c r="AC25" s="97"/>
    </row>
    <row r="26" spans="1:29" x14ac:dyDescent="0.25">
      <c r="A26" s="8">
        <f t="shared" si="0"/>
        <v>25</v>
      </c>
      <c r="B26" s="12" t="s">
        <v>277</v>
      </c>
      <c r="C26" s="9">
        <v>99899363</v>
      </c>
      <c r="D26" s="8" t="s">
        <v>52</v>
      </c>
      <c r="E26" s="14" t="s">
        <v>35</v>
      </c>
      <c r="F26" s="11">
        <v>50000</v>
      </c>
      <c r="G26" s="99">
        <v>45913</v>
      </c>
      <c r="H26" s="14" t="s">
        <v>40</v>
      </c>
      <c r="I26" s="16" t="s">
        <v>251</v>
      </c>
      <c r="J26" s="17">
        <v>5163731642</v>
      </c>
      <c r="K26" s="30" t="s">
        <v>35</v>
      </c>
      <c r="L26" s="40">
        <v>50000</v>
      </c>
      <c r="M26" s="106">
        <v>45941</v>
      </c>
      <c r="N26" s="30" t="s">
        <v>40</v>
      </c>
      <c r="O26" s="16" t="s">
        <v>251</v>
      </c>
      <c r="P26" s="17">
        <v>5163731642</v>
      </c>
      <c r="Q26" s="14" t="s">
        <v>35</v>
      </c>
      <c r="R26" s="11">
        <v>50000</v>
      </c>
      <c r="S26" s="99">
        <v>45962</v>
      </c>
      <c r="T26" s="14" t="s">
        <v>40</v>
      </c>
      <c r="U26" s="16" t="s">
        <v>45</v>
      </c>
      <c r="V26" s="17">
        <v>5209009001</v>
      </c>
      <c r="W26" s="87" t="s">
        <v>35</v>
      </c>
      <c r="X26" s="119">
        <v>50000</v>
      </c>
      <c r="Y26" s="120">
        <v>46001</v>
      </c>
      <c r="Z26" s="79" t="s">
        <v>40</v>
      </c>
      <c r="AA26" s="79" t="s">
        <v>251</v>
      </c>
      <c r="AB26" s="121">
        <v>5163731642</v>
      </c>
      <c r="AC26" s="97"/>
    </row>
    <row r="27" spans="1:29" x14ac:dyDescent="0.25">
      <c r="A27" s="8">
        <f t="shared" si="0"/>
        <v>26</v>
      </c>
      <c r="B27" s="12" t="s">
        <v>278</v>
      </c>
      <c r="C27" s="9">
        <v>96066973</v>
      </c>
      <c r="D27" s="8" t="s">
        <v>52</v>
      </c>
      <c r="E27" s="26" t="s">
        <v>35</v>
      </c>
      <c r="F27" s="93">
        <v>50000</v>
      </c>
      <c r="G27" s="94">
        <v>45913</v>
      </c>
      <c r="H27" s="26" t="s">
        <v>40</v>
      </c>
      <c r="I27" s="16" t="s">
        <v>251</v>
      </c>
      <c r="J27" s="17">
        <v>5163731643</v>
      </c>
      <c r="K27" s="14" t="s">
        <v>35</v>
      </c>
      <c r="L27" s="11">
        <v>50000</v>
      </c>
      <c r="M27" s="99">
        <v>45955</v>
      </c>
      <c r="N27" s="14" t="s">
        <v>40</v>
      </c>
      <c r="O27" s="16" t="s">
        <v>251</v>
      </c>
      <c r="P27" s="17">
        <v>5163731642</v>
      </c>
      <c r="Q27" s="14" t="s">
        <v>35</v>
      </c>
      <c r="R27" s="11">
        <v>50000</v>
      </c>
      <c r="S27" s="99">
        <v>45966</v>
      </c>
      <c r="T27" s="14" t="s">
        <v>40</v>
      </c>
      <c r="U27" s="16" t="s">
        <v>251</v>
      </c>
      <c r="V27" s="17">
        <v>5163731642</v>
      </c>
      <c r="W27" s="87" t="s">
        <v>35</v>
      </c>
      <c r="X27" s="119">
        <v>50000</v>
      </c>
      <c r="Y27" s="120">
        <v>45994</v>
      </c>
      <c r="Z27" s="79" t="s">
        <v>40</v>
      </c>
      <c r="AA27" s="79" t="s">
        <v>251</v>
      </c>
      <c r="AB27" s="121">
        <v>5163731642</v>
      </c>
      <c r="AC27" s="97"/>
    </row>
    <row r="28" spans="1:29" x14ac:dyDescent="0.25">
      <c r="A28" s="8">
        <f t="shared" si="0"/>
        <v>27</v>
      </c>
      <c r="B28" s="12" t="s">
        <v>279</v>
      </c>
      <c r="C28" s="9">
        <v>99659918</v>
      </c>
      <c r="D28" s="8" t="s">
        <v>52</v>
      </c>
      <c r="E28" s="26" t="s">
        <v>257</v>
      </c>
      <c r="F28" s="76"/>
      <c r="G28" s="85"/>
      <c r="H28" s="32"/>
      <c r="I28" s="9"/>
      <c r="J28" s="8"/>
      <c r="K28" s="14" t="s">
        <v>35</v>
      </c>
      <c r="L28" s="11">
        <v>50000</v>
      </c>
      <c r="M28" s="99">
        <v>45941</v>
      </c>
      <c r="N28" s="14" t="s">
        <v>40</v>
      </c>
      <c r="O28" s="16" t="s">
        <v>251</v>
      </c>
      <c r="P28" s="17">
        <v>5163731642</v>
      </c>
      <c r="Q28" s="14" t="s">
        <v>35</v>
      </c>
      <c r="R28" s="11">
        <v>50000</v>
      </c>
      <c r="S28" s="99">
        <v>45962</v>
      </c>
      <c r="T28" s="14" t="s">
        <v>41</v>
      </c>
      <c r="U28" s="14"/>
      <c r="V28" s="14"/>
      <c r="W28" s="87" t="s">
        <v>35</v>
      </c>
      <c r="X28" s="119">
        <v>50000</v>
      </c>
      <c r="Y28" s="120">
        <v>46004</v>
      </c>
      <c r="Z28" s="79" t="s">
        <v>40</v>
      </c>
      <c r="AA28" s="79" t="s">
        <v>251</v>
      </c>
      <c r="AB28" s="121">
        <v>5163731642</v>
      </c>
      <c r="AC28" s="97"/>
    </row>
    <row r="29" spans="1:29" x14ac:dyDescent="0.25">
      <c r="A29" s="8">
        <f t="shared" si="0"/>
        <v>28</v>
      </c>
      <c r="B29" s="12" t="s">
        <v>280</v>
      </c>
      <c r="C29" s="9">
        <v>93138080</v>
      </c>
      <c r="D29" s="8" t="s">
        <v>52</v>
      </c>
      <c r="E29" s="14" t="s">
        <v>35</v>
      </c>
      <c r="F29" s="11">
        <v>150000</v>
      </c>
      <c r="G29" s="99">
        <v>45903</v>
      </c>
      <c r="H29" s="14" t="s">
        <v>40</v>
      </c>
      <c r="I29" s="16" t="s">
        <v>251</v>
      </c>
      <c r="J29" s="17">
        <v>5163731642</v>
      </c>
      <c r="K29" s="100" t="s">
        <v>35</v>
      </c>
      <c r="L29" s="101">
        <v>50000</v>
      </c>
      <c r="M29" s="102">
        <v>45940</v>
      </c>
      <c r="N29" s="100" t="s">
        <v>40</v>
      </c>
      <c r="O29" s="97"/>
      <c r="P29" s="97"/>
      <c r="Q29" s="14" t="s">
        <v>257</v>
      </c>
      <c r="R29" s="12"/>
      <c r="S29" s="99"/>
      <c r="T29" s="14"/>
      <c r="U29" s="14"/>
      <c r="V29" s="14"/>
      <c r="W29" s="63" t="s">
        <v>259</v>
      </c>
      <c r="X29" s="43"/>
      <c r="Y29" s="14"/>
      <c r="Z29" s="17"/>
      <c r="AA29" s="17"/>
      <c r="AB29" s="14"/>
      <c r="AC29" s="97"/>
    </row>
    <row r="30" spans="1:29" x14ac:dyDescent="0.25">
      <c r="A30" s="8">
        <f t="shared" si="0"/>
        <v>29</v>
      </c>
      <c r="B30" s="12" t="s">
        <v>281</v>
      </c>
      <c r="C30" s="9"/>
      <c r="D30" s="8" t="s">
        <v>52</v>
      </c>
      <c r="E30" s="33" t="s">
        <v>259</v>
      </c>
      <c r="F30" s="98"/>
      <c r="G30" s="9"/>
      <c r="H30" s="97"/>
      <c r="I30" s="9"/>
      <c r="J30" s="8"/>
      <c r="K30" s="14" t="s">
        <v>257</v>
      </c>
      <c r="L30" s="9"/>
      <c r="M30" s="9"/>
      <c r="N30" s="97"/>
      <c r="O30" s="97"/>
      <c r="P30" s="97"/>
      <c r="Q30" s="14" t="s">
        <v>257</v>
      </c>
      <c r="R30" s="12"/>
      <c r="S30" s="12"/>
      <c r="T30" s="14"/>
      <c r="U30" s="14"/>
      <c r="V30" s="14"/>
      <c r="W30" s="29" t="s">
        <v>257</v>
      </c>
      <c r="X30" s="43"/>
      <c r="Y30" s="14"/>
      <c r="Z30" s="17"/>
      <c r="AA30" s="17"/>
      <c r="AB30" s="14"/>
      <c r="AC30" s="97"/>
    </row>
    <row r="31" spans="1:29" x14ac:dyDescent="0.25">
      <c r="A31" s="8">
        <f t="shared" si="0"/>
        <v>30</v>
      </c>
      <c r="B31" s="12" t="s">
        <v>282</v>
      </c>
      <c r="C31" s="9">
        <v>99938382</v>
      </c>
      <c r="D31" s="8" t="s">
        <v>52</v>
      </c>
      <c r="E31" s="14" t="s">
        <v>35</v>
      </c>
      <c r="F31" s="11">
        <v>50000</v>
      </c>
      <c r="G31" s="99">
        <v>45903</v>
      </c>
      <c r="H31" s="14" t="s">
        <v>41</v>
      </c>
      <c r="I31" s="12"/>
      <c r="J31" s="13"/>
      <c r="K31" s="14" t="s">
        <v>35</v>
      </c>
      <c r="L31" s="11">
        <v>50000</v>
      </c>
      <c r="M31" s="99">
        <v>45931</v>
      </c>
      <c r="N31" s="14" t="s">
        <v>41</v>
      </c>
      <c r="O31" s="14"/>
      <c r="P31" s="14"/>
      <c r="Q31" s="14" t="s">
        <v>35</v>
      </c>
      <c r="R31" s="11">
        <v>50000</v>
      </c>
      <c r="S31" s="99">
        <v>45966</v>
      </c>
      <c r="T31" s="14" t="s">
        <v>41</v>
      </c>
      <c r="U31" s="14"/>
      <c r="V31" s="14"/>
      <c r="W31" s="87" t="s">
        <v>35</v>
      </c>
      <c r="X31" s="119">
        <v>50000</v>
      </c>
      <c r="Y31" s="120">
        <v>45997</v>
      </c>
      <c r="Z31" s="121" t="s">
        <v>41</v>
      </c>
      <c r="AA31" s="79"/>
      <c r="AB31" s="121"/>
      <c r="AC31" s="97"/>
    </row>
    <row r="32" spans="1:29" x14ac:dyDescent="0.25">
      <c r="A32" s="8">
        <f t="shared" si="0"/>
        <v>31</v>
      </c>
      <c r="B32" s="12" t="s">
        <v>283</v>
      </c>
      <c r="C32" s="9">
        <v>80160893</v>
      </c>
      <c r="D32" s="8" t="s">
        <v>52</v>
      </c>
      <c r="E32" s="14" t="s">
        <v>35</v>
      </c>
      <c r="F32" s="11">
        <v>50000</v>
      </c>
      <c r="G32" s="99">
        <v>45903</v>
      </c>
      <c r="H32" s="14" t="s">
        <v>40</v>
      </c>
      <c r="I32" s="16" t="s">
        <v>251</v>
      </c>
      <c r="J32" s="17">
        <v>5163731642</v>
      </c>
      <c r="K32" s="14" t="s">
        <v>35</v>
      </c>
      <c r="L32" s="11">
        <v>50000</v>
      </c>
      <c r="M32" s="99">
        <v>45941</v>
      </c>
      <c r="N32" s="14" t="s">
        <v>41</v>
      </c>
      <c r="O32" s="14"/>
      <c r="P32" s="14"/>
      <c r="Q32" s="14" t="s">
        <v>35</v>
      </c>
      <c r="R32" s="11">
        <v>50000</v>
      </c>
      <c r="S32" s="99">
        <v>45969</v>
      </c>
      <c r="T32" s="14" t="s">
        <v>40</v>
      </c>
      <c r="U32" s="16" t="s">
        <v>45</v>
      </c>
      <c r="V32" s="17">
        <v>5209009001</v>
      </c>
      <c r="W32" s="87" t="s">
        <v>35</v>
      </c>
      <c r="X32" s="119">
        <v>50000</v>
      </c>
      <c r="Y32" s="120">
        <v>46008</v>
      </c>
      <c r="Z32" s="79" t="s">
        <v>40</v>
      </c>
      <c r="AA32" s="79" t="s">
        <v>251</v>
      </c>
      <c r="AB32" s="121">
        <v>5163731642</v>
      </c>
      <c r="AC32" s="97"/>
    </row>
    <row r="33" spans="1:29" x14ac:dyDescent="0.25">
      <c r="A33" s="8">
        <f t="shared" si="0"/>
        <v>32</v>
      </c>
      <c r="B33" s="12" t="s">
        <v>284</v>
      </c>
      <c r="C33" s="9"/>
      <c r="D33" s="8" t="s">
        <v>52</v>
      </c>
      <c r="E33" s="33" t="s">
        <v>259</v>
      </c>
      <c r="F33" s="98"/>
      <c r="G33" s="9"/>
      <c r="H33" s="97"/>
      <c r="I33" s="9"/>
      <c r="J33" s="8"/>
      <c r="K33" s="14" t="s">
        <v>35</v>
      </c>
      <c r="L33" s="11">
        <v>50000</v>
      </c>
      <c r="M33" s="99">
        <v>45948</v>
      </c>
      <c r="N33" s="14" t="s">
        <v>40</v>
      </c>
      <c r="O33" s="16" t="s">
        <v>251</v>
      </c>
      <c r="P33" s="17">
        <v>5163731642</v>
      </c>
      <c r="Q33" s="14" t="s">
        <v>35</v>
      </c>
      <c r="R33" s="11">
        <v>50000</v>
      </c>
      <c r="S33" s="99">
        <v>45973</v>
      </c>
      <c r="T33" s="14" t="s">
        <v>40</v>
      </c>
      <c r="U33" s="16" t="s">
        <v>251</v>
      </c>
      <c r="V33" s="17">
        <v>5163731642</v>
      </c>
      <c r="W33" s="29" t="s">
        <v>257</v>
      </c>
      <c r="X33" s="118"/>
      <c r="Y33" s="17"/>
      <c r="Z33" s="17"/>
      <c r="AA33" s="17"/>
      <c r="AB33" s="17"/>
      <c r="AC33" s="97"/>
    </row>
    <row r="34" spans="1:29" x14ac:dyDescent="0.25">
      <c r="A34" s="8">
        <f t="shared" si="0"/>
        <v>33</v>
      </c>
      <c r="B34" s="12" t="s">
        <v>285</v>
      </c>
      <c r="C34" s="9">
        <v>94588000</v>
      </c>
      <c r="D34" s="8" t="s">
        <v>52</v>
      </c>
      <c r="E34" s="14" t="s">
        <v>35</v>
      </c>
      <c r="F34" s="11">
        <v>50000</v>
      </c>
      <c r="G34" s="99">
        <v>45906</v>
      </c>
      <c r="H34" s="14" t="s">
        <v>40</v>
      </c>
      <c r="I34" s="16" t="s">
        <v>251</v>
      </c>
      <c r="J34" s="17">
        <v>5163731642</v>
      </c>
      <c r="K34" s="14" t="s">
        <v>257</v>
      </c>
      <c r="L34" s="9"/>
      <c r="M34" s="10"/>
      <c r="N34" s="97"/>
      <c r="O34" s="97"/>
      <c r="P34" s="97"/>
      <c r="Q34" s="14" t="s">
        <v>257</v>
      </c>
      <c r="R34" s="12"/>
      <c r="S34" s="99"/>
      <c r="T34" s="14"/>
      <c r="U34" s="14"/>
      <c r="V34" s="14"/>
      <c r="W34" s="29" t="s">
        <v>257</v>
      </c>
      <c r="X34" s="43"/>
      <c r="Y34" s="14"/>
      <c r="Z34" s="17"/>
      <c r="AA34" s="17"/>
      <c r="AB34" s="14"/>
      <c r="AC34" s="97"/>
    </row>
    <row r="35" spans="1:29" x14ac:dyDescent="0.25">
      <c r="A35" s="8">
        <f t="shared" si="0"/>
        <v>34</v>
      </c>
      <c r="B35" s="15" t="s">
        <v>336</v>
      </c>
      <c r="C35" s="9">
        <v>99028960</v>
      </c>
      <c r="D35" s="8" t="s">
        <v>52</v>
      </c>
      <c r="E35" s="14"/>
      <c r="F35" s="11"/>
      <c r="G35" s="99"/>
      <c r="H35" s="14"/>
      <c r="I35" s="16"/>
      <c r="J35" s="17"/>
      <c r="K35" s="14"/>
      <c r="L35" s="9"/>
      <c r="M35" s="10"/>
      <c r="N35" s="97"/>
      <c r="O35" s="97"/>
      <c r="P35" s="97"/>
      <c r="Q35" s="14"/>
      <c r="R35" s="12"/>
      <c r="S35" s="99"/>
      <c r="T35" s="14"/>
      <c r="U35" s="14"/>
      <c r="V35" s="14"/>
      <c r="W35" s="87" t="s">
        <v>35</v>
      </c>
      <c r="X35" s="119">
        <v>50000</v>
      </c>
      <c r="Y35" s="120">
        <v>46007</v>
      </c>
      <c r="Z35" s="79" t="s">
        <v>40</v>
      </c>
      <c r="AA35" s="79" t="s">
        <v>251</v>
      </c>
      <c r="AB35" s="121">
        <v>5163731642</v>
      </c>
      <c r="AC35" s="97"/>
    </row>
    <row r="36" spans="1:29" x14ac:dyDescent="0.25">
      <c r="A36" s="8">
        <f t="shared" si="0"/>
        <v>35</v>
      </c>
      <c r="B36" s="12" t="s">
        <v>286</v>
      </c>
      <c r="C36" s="9">
        <v>89659199</v>
      </c>
      <c r="D36" s="8" t="s">
        <v>52</v>
      </c>
      <c r="E36" s="14" t="s">
        <v>35</v>
      </c>
      <c r="F36" s="11">
        <v>50000</v>
      </c>
      <c r="G36" s="99">
        <v>45910</v>
      </c>
      <c r="H36" s="14" t="s">
        <v>40</v>
      </c>
      <c r="I36" s="16" t="s">
        <v>251</v>
      </c>
      <c r="J36" s="17">
        <v>5163731642</v>
      </c>
      <c r="K36" s="14" t="s">
        <v>35</v>
      </c>
      <c r="L36" s="11">
        <v>50000</v>
      </c>
      <c r="M36" s="99">
        <v>45972</v>
      </c>
      <c r="N36" s="14" t="s">
        <v>40</v>
      </c>
      <c r="O36" s="16" t="s">
        <v>251</v>
      </c>
      <c r="P36" s="17">
        <v>5163731642</v>
      </c>
      <c r="Q36" s="14" t="s">
        <v>257</v>
      </c>
      <c r="R36" s="12"/>
      <c r="S36" s="99"/>
      <c r="T36" s="14"/>
      <c r="U36" s="14"/>
      <c r="V36" s="14"/>
      <c r="W36" s="29" t="s">
        <v>257</v>
      </c>
      <c r="X36" s="43"/>
      <c r="Y36" s="14"/>
      <c r="Z36" s="17"/>
      <c r="AA36" s="17"/>
      <c r="AB36" s="14"/>
      <c r="AC36" s="97"/>
    </row>
    <row r="37" spans="1:29" x14ac:dyDescent="0.25">
      <c r="A37" s="8">
        <f t="shared" si="0"/>
        <v>36</v>
      </c>
      <c r="B37" s="12" t="s">
        <v>287</v>
      </c>
      <c r="C37" s="9">
        <v>99008785</v>
      </c>
      <c r="D37" s="8" t="s">
        <v>52</v>
      </c>
      <c r="E37" s="14" t="s">
        <v>35</v>
      </c>
      <c r="F37" s="11">
        <v>50000</v>
      </c>
      <c r="G37" s="99">
        <v>45917</v>
      </c>
      <c r="H37" s="14" t="s">
        <v>40</v>
      </c>
      <c r="I37" s="16" t="s">
        <v>251</v>
      </c>
      <c r="J37" s="17">
        <v>5163731642</v>
      </c>
      <c r="K37" s="14" t="s">
        <v>35</v>
      </c>
      <c r="L37" s="11">
        <v>50000</v>
      </c>
      <c r="M37" s="99">
        <v>45934</v>
      </c>
      <c r="N37" s="14" t="s">
        <v>40</v>
      </c>
      <c r="O37" s="16" t="s">
        <v>251</v>
      </c>
      <c r="P37" s="13">
        <v>5027586600</v>
      </c>
      <c r="Q37" s="14" t="s">
        <v>35</v>
      </c>
      <c r="R37" s="11">
        <v>50000</v>
      </c>
      <c r="S37" s="99">
        <v>45983</v>
      </c>
      <c r="T37" s="14" t="s">
        <v>40</v>
      </c>
      <c r="U37" s="16" t="s">
        <v>251</v>
      </c>
      <c r="V37" s="17">
        <v>5163731642</v>
      </c>
      <c r="W37" s="29" t="s">
        <v>257</v>
      </c>
      <c r="X37" s="118"/>
      <c r="Y37" s="17"/>
      <c r="Z37" s="17"/>
      <c r="AA37" s="17"/>
      <c r="AB37" s="17"/>
      <c r="AC37" s="97"/>
    </row>
    <row r="38" spans="1:29" x14ac:dyDescent="0.25">
      <c r="A38" s="8">
        <f t="shared" si="0"/>
        <v>37</v>
      </c>
      <c r="B38" s="12" t="s">
        <v>288</v>
      </c>
      <c r="C38" s="9">
        <v>95402113</v>
      </c>
      <c r="D38" s="8" t="s">
        <v>52</v>
      </c>
      <c r="E38" s="14" t="s">
        <v>35</v>
      </c>
      <c r="F38" s="11">
        <v>50000</v>
      </c>
      <c r="G38" s="99">
        <v>45906</v>
      </c>
      <c r="H38" s="14" t="s">
        <v>40</v>
      </c>
      <c r="I38" s="16" t="s">
        <v>251</v>
      </c>
      <c r="J38" s="17">
        <v>5163731642</v>
      </c>
      <c r="K38" s="14" t="s">
        <v>35</v>
      </c>
      <c r="L38" s="11">
        <v>50000</v>
      </c>
      <c r="M38" s="99">
        <v>45934</v>
      </c>
      <c r="N38" s="14" t="s">
        <v>40</v>
      </c>
      <c r="O38" s="16" t="s">
        <v>251</v>
      </c>
      <c r="P38" s="17">
        <v>5163731642</v>
      </c>
      <c r="Q38" s="14" t="s">
        <v>35</v>
      </c>
      <c r="R38" s="11">
        <v>50000</v>
      </c>
      <c r="S38" s="99">
        <v>45962</v>
      </c>
      <c r="T38" s="14" t="s">
        <v>40</v>
      </c>
      <c r="U38" s="16" t="s">
        <v>45</v>
      </c>
      <c r="V38" s="17">
        <v>5209009001</v>
      </c>
      <c r="W38" s="87" t="s">
        <v>35</v>
      </c>
      <c r="X38" s="119">
        <v>50000</v>
      </c>
      <c r="Y38" s="120">
        <v>45997</v>
      </c>
      <c r="Z38" s="79" t="s">
        <v>40</v>
      </c>
      <c r="AA38" s="79" t="s">
        <v>251</v>
      </c>
      <c r="AB38" s="121">
        <v>5163731642</v>
      </c>
      <c r="AC38" s="97"/>
    </row>
    <row r="39" spans="1:29" x14ac:dyDescent="0.25">
      <c r="A39" s="8">
        <f t="shared" si="0"/>
        <v>38</v>
      </c>
      <c r="B39" s="12" t="s">
        <v>289</v>
      </c>
      <c r="C39" s="9">
        <v>94071191</v>
      </c>
      <c r="D39" s="8" t="s">
        <v>52</v>
      </c>
      <c r="E39" s="14" t="s">
        <v>35</v>
      </c>
      <c r="F39" s="11">
        <v>50000</v>
      </c>
      <c r="G39" s="99">
        <v>45906</v>
      </c>
      <c r="H39" s="14" t="s">
        <v>40</v>
      </c>
      <c r="I39" s="16" t="s">
        <v>251</v>
      </c>
      <c r="J39" s="17">
        <v>5163731642</v>
      </c>
      <c r="K39" s="14" t="s">
        <v>35</v>
      </c>
      <c r="L39" s="11">
        <v>50000</v>
      </c>
      <c r="M39" s="99">
        <v>45938</v>
      </c>
      <c r="N39" s="14" t="s">
        <v>40</v>
      </c>
      <c r="O39" s="16" t="s">
        <v>251</v>
      </c>
      <c r="P39" s="17">
        <v>5163731642</v>
      </c>
      <c r="Q39" s="14" t="s">
        <v>35</v>
      </c>
      <c r="R39" s="11">
        <v>50000</v>
      </c>
      <c r="S39" s="99">
        <v>45973</v>
      </c>
      <c r="T39" s="14" t="s">
        <v>41</v>
      </c>
      <c r="U39" s="14"/>
      <c r="V39" s="14"/>
      <c r="W39" s="87" t="s">
        <v>35</v>
      </c>
      <c r="X39" s="119">
        <v>50000</v>
      </c>
      <c r="Y39" s="120">
        <v>46015</v>
      </c>
      <c r="Z39" s="79" t="s">
        <v>40</v>
      </c>
      <c r="AA39" s="79" t="s">
        <v>251</v>
      </c>
      <c r="AB39" s="121">
        <v>5163731642</v>
      </c>
      <c r="AC39" s="97"/>
    </row>
    <row r="40" spans="1:29" x14ac:dyDescent="0.25">
      <c r="A40" s="8">
        <f t="shared" si="0"/>
        <v>39</v>
      </c>
      <c r="B40" s="12" t="s">
        <v>290</v>
      </c>
      <c r="C40" s="9">
        <v>91242277</v>
      </c>
      <c r="D40" s="8" t="s">
        <v>52</v>
      </c>
      <c r="E40" s="14" t="s">
        <v>35</v>
      </c>
      <c r="F40" s="11">
        <v>50000</v>
      </c>
      <c r="G40" s="99">
        <v>45924</v>
      </c>
      <c r="H40" s="14" t="s">
        <v>41</v>
      </c>
      <c r="I40" s="12"/>
      <c r="J40" s="13"/>
      <c r="K40" s="14" t="s">
        <v>35</v>
      </c>
      <c r="L40" s="11">
        <v>50000</v>
      </c>
      <c r="M40" s="99">
        <v>45952</v>
      </c>
      <c r="N40" s="14" t="s">
        <v>40</v>
      </c>
      <c r="O40" s="16" t="s">
        <v>251</v>
      </c>
      <c r="P40" s="17">
        <v>5163731642</v>
      </c>
      <c r="Q40" s="14" t="s">
        <v>35</v>
      </c>
      <c r="R40" s="11">
        <v>50000</v>
      </c>
      <c r="S40" s="99">
        <v>45983</v>
      </c>
      <c r="T40" s="14" t="s">
        <v>40</v>
      </c>
      <c r="U40" s="16" t="s">
        <v>251</v>
      </c>
      <c r="V40" s="17">
        <v>5163731642</v>
      </c>
      <c r="W40" s="63" t="s">
        <v>259</v>
      </c>
      <c r="X40" s="118"/>
      <c r="Y40" s="17"/>
      <c r="Z40" s="17"/>
      <c r="AA40" s="17"/>
      <c r="AB40" s="17"/>
      <c r="AC40" s="97"/>
    </row>
    <row r="41" spans="1:29" x14ac:dyDescent="0.25">
      <c r="A41" s="8">
        <f t="shared" si="0"/>
        <v>40</v>
      </c>
      <c r="B41" s="12" t="s">
        <v>291</v>
      </c>
      <c r="C41" s="9">
        <v>99173366</v>
      </c>
      <c r="D41" s="8" t="s">
        <v>52</v>
      </c>
      <c r="E41" s="14" t="s">
        <v>35</v>
      </c>
      <c r="F41" s="11">
        <v>50000</v>
      </c>
      <c r="G41" s="99">
        <v>45903</v>
      </c>
      <c r="H41" s="14" t="s">
        <v>40</v>
      </c>
      <c r="I41" s="16" t="s">
        <v>251</v>
      </c>
      <c r="J41" s="17">
        <v>5163731642</v>
      </c>
      <c r="K41" s="14" t="s">
        <v>35</v>
      </c>
      <c r="L41" s="11">
        <v>50000</v>
      </c>
      <c r="M41" s="99">
        <v>45938</v>
      </c>
      <c r="N41" s="14" t="s">
        <v>40</v>
      </c>
      <c r="O41" s="16" t="s">
        <v>251</v>
      </c>
      <c r="P41" s="17">
        <v>5163731642</v>
      </c>
      <c r="Q41" s="14" t="s">
        <v>257</v>
      </c>
      <c r="R41" s="12"/>
      <c r="S41" s="99"/>
      <c r="T41" s="14"/>
      <c r="U41" s="14"/>
      <c r="V41" s="14"/>
      <c r="W41" s="29" t="s">
        <v>257</v>
      </c>
      <c r="X41" s="43"/>
      <c r="Y41" s="14"/>
      <c r="Z41" s="17"/>
      <c r="AA41" s="17"/>
      <c r="AB41" s="14"/>
      <c r="AC41" s="97"/>
    </row>
    <row r="42" spans="1:29" ht="25.5" x14ac:dyDescent="0.25">
      <c r="A42" s="8">
        <f t="shared" si="0"/>
        <v>41</v>
      </c>
      <c r="B42" s="12" t="s">
        <v>292</v>
      </c>
      <c r="C42" s="9">
        <v>91226048</v>
      </c>
      <c r="D42" s="8" t="s">
        <v>52</v>
      </c>
      <c r="E42" s="14" t="s">
        <v>35</v>
      </c>
      <c r="F42" s="11">
        <v>450000</v>
      </c>
      <c r="G42" s="99">
        <v>45906</v>
      </c>
      <c r="H42" s="14" t="s">
        <v>40</v>
      </c>
      <c r="I42" s="16" t="s">
        <v>251</v>
      </c>
      <c r="J42" s="17">
        <v>5163731642</v>
      </c>
      <c r="K42" s="14" t="s">
        <v>35</v>
      </c>
      <c r="L42" s="11">
        <v>0</v>
      </c>
      <c r="M42" s="99">
        <v>45906</v>
      </c>
      <c r="N42" s="14" t="s">
        <v>40</v>
      </c>
      <c r="O42" s="16" t="s">
        <v>251</v>
      </c>
      <c r="P42" s="17">
        <v>5163731642</v>
      </c>
      <c r="Q42" s="14" t="s">
        <v>35</v>
      </c>
      <c r="R42" s="11">
        <v>0</v>
      </c>
      <c r="S42" s="99">
        <v>45906</v>
      </c>
      <c r="T42" s="14" t="s">
        <v>40</v>
      </c>
      <c r="U42" s="16" t="s">
        <v>251</v>
      </c>
      <c r="V42" s="17">
        <v>5163731642</v>
      </c>
      <c r="W42" s="87" t="s">
        <v>35</v>
      </c>
      <c r="X42" s="122">
        <v>0</v>
      </c>
      <c r="Y42" s="120">
        <v>45906</v>
      </c>
      <c r="Z42" s="79" t="s">
        <v>40</v>
      </c>
      <c r="AA42" s="123" t="s">
        <v>251</v>
      </c>
      <c r="AB42" s="79">
        <v>5163731642</v>
      </c>
      <c r="AC42" s="39" t="s">
        <v>342</v>
      </c>
    </row>
    <row r="43" spans="1:29" x14ac:dyDescent="0.25">
      <c r="A43" s="8">
        <f t="shared" si="0"/>
        <v>42</v>
      </c>
      <c r="B43" s="15" t="s">
        <v>341</v>
      </c>
      <c r="C43" s="23">
        <v>98111391</v>
      </c>
      <c r="D43" s="8" t="s">
        <v>52</v>
      </c>
      <c r="E43" s="14"/>
      <c r="F43" s="11"/>
      <c r="G43" s="99"/>
      <c r="H43" s="14"/>
      <c r="I43" s="16"/>
      <c r="J43" s="17"/>
      <c r="K43" s="14"/>
      <c r="L43" s="11"/>
      <c r="M43" s="99"/>
      <c r="N43" s="14"/>
      <c r="O43" s="16"/>
      <c r="P43" s="17"/>
      <c r="Q43" s="14"/>
      <c r="R43" s="11"/>
      <c r="S43" s="99"/>
      <c r="T43" s="14"/>
      <c r="U43" s="16"/>
      <c r="V43" s="17"/>
      <c r="W43" s="63" t="s">
        <v>259</v>
      </c>
      <c r="X43" s="118"/>
      <c r="Y43" s="69"/>
      <c r="Z43" s="17"/>
      <c r="AA43" s="17"/>
      <c r="AB43" s="17"/>
      <c r="AC43" s="97"/>
    </row>
    <row r="44" spans="1:29" x14ac:dyDescent="0.25">
      <c r="A44" s="8">
        <f t="shared" si="0"/>
        <v>43</v>
      </c>
      <c r="B44" s="12" t="s">
        <v>293</v>
      </c>
      <c r="C44" s="9">
        <v>90130872</v>
      </c>
      <c r="D44" s="8" t="s">
        <v>52</v>
      </c>
      <c r="E44" s="14" t="s">
        <v>35</v>
      </c>
      <c r="F44" s="11">
        <v>50000</v>
      </c>
      <c r="G44" s="99">
        <v>45927</v>
      </c>
      <c r="H44" s="14" t="s">
        <v>40</v>
      </c>
      <c r="I44" s="16" t="s">
        <v>251</v>
      </c>
      <c r="J44" s="17">
        <v>5163731642</v>
      </c>
      <c r="K44" s="14" t="s">
        <v>35</v>
      </c>
      <c r="L44" s="11">
        <v>50000</v>
      </c>
      <c r="M44" s="99">
        <v>45947</v>
      </c>
      <c r="N44" s="14" t="s">
        <v>40</v>
      </c>
      <c r="O44" s="16" t="s">
        <v>251</v>
      </c>
      <c r="P44" s="13">
        <v>5163731642</v>
      </c>
      <c r="Q44" s="14" t="s">
        <v>35</v>
      </c>
      <c r="R44" s="11">
        <v>50000</v>
      </c>
      <c r="S44" s="99">
        <v>45975</v>
      </c>
      <c r="T44" s="14" t="s">
        <v>40</v>
      </c>
      <c r="U44" s="16" t="s">
        <v>251</v>
      </c>
      <c r="V44" s="17">
        <v>5163731642</v>
      </c>
      <c r="W44" s="29" t="s">
        <v>257</v>
      </c>
      <c r="X44" s="118"/>
      <c r="Y44" s="17"/>
      <c r="Z44" s="17"/>
      <c r="AA44" s="17"/>
      <c r="AB44" s="17"/>
      <c r="AC44" s="97"/>
    </row>
    <row r="45" spans="1:29" x14ac:dyDescent="0.25">
      <c r="A45" s="8">
        <f t="shared" si="0"/>
        <v>44</v>
      </c>
      <c r="B45" s="12" t="s">
        <v>294</v>
      </c>
      <c r="C45" s="9">
        <v>99034414</v>
      </c>
      <c r="D45" s="8" t="s">
        <v>52</v>
      </c>
      <c r="E45" s="14" t="s">
        <v>259</v>
      </c>
      <c r="F45" s="11">
        <v>0</v>
      </c>
      <c r="G45" s="99">
        <v>45938</v>
      </c>
      <c r="H45" s="14" t="s">
        <v>40</v>
      </c>
      <c r="I45" s="16" t="s">
        <v>251</v>
      </c>
      <c r="J45" s="13">
        <v>5027586600</v>
      </c>
      <c r="K45" s="14" t="s">
        <v>35</v>
      </c>
      <c r="L45" s="11">
        <v>100000</v>
      </c>
      <c r="M45" s="99">
        <v>45938</v>
      </c>
      <c r="N45" s="14" t="s">
        <v>40</v>
      </c>
      <c r="O45" s="16" t="s">
        <v>251</v>
      </c>
      <c r="P45" s="13">
        <v>5027586600</v>
      </c>
      <c r="Q45" s="14" t="s">
        <v>35</v>
      </c>
      <c r="R45" s="11">
        <v>50000</v>
      </c>
      <c r="S45" s="99">
        <v>45969</v>
      </c>
      <c r="T45" s="14" t="s">
        <v>40</v>
      </c>
      <c r="U45" s="16" t="s">
        <v>45</v>
      </c>
      <c r="V45" s="17">
        <v>5209009001</v>
      </c>
      <c r="W45" s="87" t="s">
        <v>35</v>
      </c>
      <c r="X45" s="119">
        <v>50000</v>
      </c>
      <c r="Y45" s="120">
        <v>46015</v>
      </c>
      <c r="Z45" s="79" t="s">
        <v>40</v>
      </c>
      <c r="AA45" s="79" t="s">
        <v>251</v>
      </c>
      <c r="AB45" s="121">
        <v>5163731642</v>
      </c>
      <c r="AC45" s="97"/>
    </row>
    <row r="46" spans="1:29" x14ac:dyDescent="0.25">
      <c r="A46" s="8">
        <f t="shared" si="0"/>
        <v>45</v>
      </c>
      <c r="B46" s="15" t="s">
        <v>335</v>
      </c>
      <c r="C46" s="9">
        <v>80119656</v>
      </c>
      <c r="D46" s="8" t="s">
        <v>52</v>
      </c>
      <c r="E46" s="14"/>
      <c r="F46" s="11"/>
      <c r="G46" s="99"/>
      <c r="H46" s="14"/>
      <c r="I46" s="16"/>
      <c r="J46" s="13"/>
      <c r="K46" s="14"/>
      <c r="L46" s="11"/>
      <c r="M46" s="99"/>
      <c r="N46" s="14"/>
      <c r="O46" s="16"/>
      <c r="P46" s="13"/>
      <c r="Q46" s="14"/>
      <c r="R46" s="11"/>
      <c r="S46" s="99"/>
      <c r="T46" s="14"/>
      <c r="U46" s="16"/>
      <c r="V46" s="17"/>
      <c r="W46" s="87" t="s">
        <v>35</v>
      </c>
      <c r="X46" s="119">
        <v>50000</v>
      </c>
      <c r="Y46" s="120">
        <v>46008</v>
      </c>
      <c r="Z46" s="79" t="s">
        <v>40</v>
      </c>
      <c r="AA46" s="79" t="s">
        <v>251</v>
      </c>
      <c r="AB46" s="121">
        <v>5163731642</v>
      </c>
      <c r="AC46" s="97"/>
    </row>
    <row r="47" spans="1:29" x14ac:dyDescent="0.25">
      <c r="A47" s="8">
        <f t="shared" si="0"/>
        <v>46</v>
      </c>
      <c r="B47" s="12" t="s">
        <v>295</v>
      </c>
      <c r="C47" s="9">
        <v>99229898</v>
      </c>
      <c r="D47" s="8" t="s">
        <v>52</v>
      </c>
      <c r="E47" s="97" t="s">
        <v>257</v>
      </c>
      <c r="F47" s="11"/>
      <c r="G47" s="10"/>
      <c r="H47" s="97"/>
      <c r="I47" s="9"/>
      <c r="J47" s="8"/>
      <c r="K47" s="14" t="s">
        <v>257</v>
      </c>
      <c r="L47" s="9"/>
      <c r="M47" s="10"/>
      <c r="N47" s="97"/>
      <c r="O47" s="97"/>
      <c r="P47" s="97"/>
      <c r="Q47" s="14" t="s">
        <v>35</v>
      </c>
      <c r="R47" s="11">
        <v>50000</v>
      </c>
      <c r="S47" s="99">
        <v>45973</v>
      </c>
      <c r="T47" s="14" t="s">
        <v>41</v>
      </c>
      <c r="U47" s="16"/>
      <c r="V47" s="17"/>
      <c r="W47" s="87" t="s">
        <v>35</v>
      </c>
      <c r="X47" s="119">
        <v>50000</v>
      </c>
      <c r="Y47" s="120">
        <v>46001</v>
      </c>
      <c r="Z47" s="79" t="s">
        <v>40</v>
      </c>
      <c r="AA47" s="79" t="s">
        <v>251</v>
      </c>
      <c r="AB47" s="121">
        <v>5163731642</v>
      </c>
      <c r="AC47" s="97"/>
    </row>
    <row r="48" spans="1:29" x14ac:dyDescent="0.25">
      <c r="A48" s="8">
        <f t="shared" si="0"/>
        <v>47</v>
      </c>
      <c r="B48" s="29" t="s">
        <v>296</v>
      </c>
      <c r="C48" s="9">
        <v>99835959</v>
      </c>
      <c r="D48" s="8" t="s">
        <v>52</v>
      </c>
      <c r="E48" s="14" t="s">
        <v>35</v>
      </c>
      <c r="F48" s="11">
        <v>50000</v>
      </c>
      <c r="G48" s="99">
        <v>45913</v>
      </c>
      <c r="H48" s="14" t="s">
        <v>40</v>
      </c>
      <c r="I48" s="16" t="s">
        <v>251</v>
      </c>
      <c r="J48" s="17">
        <v>5163731642</v>
      </c>
      <c r="K48" s="14" t="s">
        <v>35</v>
      </c>
      <c r="L48" s="11">
        <v>50000</v>
      </c>
      <c r="M48" s="99">
        <v>45962</v>
      </c>
      <c r="N48" s="14" t="s">
        <v>40</v>
      </c>
      <c r="O48" s="16" t="s">
        <v>45</v>
      </c>
      <c r="P48" s="17">
        <v>5209009001</v>
      </c>
      <c r="Q48" s="14" t="s">
        <v>35</v>
      </c>
      <c r="R48" s="11">
        <v>50000</v>
      </c>
      <c r="S48" s="99">
        <v>45969</v>
      </c>
      <c r="T48" s="14" t="s">
        <v>40</v>
      </c>
      <c r="U48" s="16" t="s">
        <v>45</v>
      </c>
      <c r="V48" s="17">
        <v>5209009001</v>
      </c>
      <c r="W48" s="63" t="s">
        <v>259</v>
      </c>
      <c r="X48" s="118"/>
      <c r="Y48" s="17"/>
      <c r="Z48" s="17"/>
      <c r="AA48" s="17"/>
      <c r="AB48" s="17"/>
      <c r="AC48" s="97"/>
    </row>
    <row r="49" spans="1:29" x14ac:dyDescent="0.25">
      <c r="A49" s="8">
        <f t="shared" si="0"/>
        <v>48</v>
      </c>
      <c r="B49" s="12" t="s">
        <v>297</v>
      </c>
      <c r="C49" s="9">
        <v>91993928</v>
      </c>
      <c r="D49" s="8" t="s">
        <v>52</v>
      </c>
      <c r="E49" s="14" t="s">
        <v>35</v>
      </c>
      <c r="F49" s="11">
        <v>50000</v>
      </c>
      <c r="G49" s="99">
        <v>45920</v>
      </c>
      <c r="H49" s="14" t="s">
        <v>40</v>
      </c>
      <c r="I49" s="16" t="s">
        <v>251</v>
      </c>
      <c r="J49" s="17">
        <v>5163731642</v>
      </c>
      <c r="K49" s="14" t="s">
        <v>35</v>
      </c>
      <c r="L49" s="11">
        <v>50000</v>
      </c>
      <c r="M49" s="99">
        <v>45931</v>
      </c>
      <c r="N49" s="14" t="s">
        <v>40</v>
      </c>
      <c r="O49" s="16" t="s">
        <v>251</v>
      </c>
      <c r="P49" s="17">
        <v>5163731642</v>
      </c>
      <c r="Q49" s="14" t="s">
        <v>35</v>
      </c>
      <c r="R49" s="11">
        <v>50000</v>
      </c>
      <c r="S49" s="99">
        <v>45966</v>
      </c>
      <c r="T49" s="14" t="s">
        <v>40</v>
      </c>
      <c r="U49" s="16" t="s">
        <v>45</v>
      </c>
      <c r="V49" s="17">
        <v>5209009001</v>
      </c>
      <c r="W49" s="87" t="s">
        <v>35</v>
      </c>
      <c r="X49" s="119">
        <v>50000</v>
      </c>
      <c r="Y49" s="120">
        <v>45997</v>
      </c>
      <c r="Z49" s="79" t="s">
        <v>40</v>
      </c>
      <c r="AA49" s="79" t="s">
        <v>251</v>
      </c>
      <c r="AB49" s="121">
        <v>5163731642</v>
      </c>
      <c r="AC49" s="97"/>
    </row>
    <row r="50" spans="1:29" x14ac:dyDescent="0.25">
      <c r="A50" s="8">
        <f t="shared" si="0"/>
        <v>49</v>
      </c>
      <c r="B50" s="12" t="s">
        <v>298</v>
      </c>
      <c r="C50" s="9">
        <v>88107747</v>
      </c>
      <c r="D50" s="8" t="s">
        <v>52</v>
      </c>
      <c r="E50" s="14" t="s">
        <v>35</v>
      </c>
      <c r="F50" s="11">
        <v>50000</v>
      </c>
      <c r="G50" s="99">
        <v>45903</v>
      </c>
      <c r="H50" s="14" t="s">
        <v>40</v>
      </c>
      <c r="I50" s="16" t="s">
        <v>251</v>
      </c>
      <c r="J50" s="17">
        <v>5163731642</v>
      </c>
      <c r="K50" s="14" t="s">
        <v>35</v>
      </c>
      <c r="L50" s="11">
        <v>50000</v>
      </c>
      <c r="M50" s="99">
        <v>45938</v>
      </c>
      <c r="N50" s="14" t="s">
        <v>40</v>
      </c>
      <c r="O50" s="16" t="s">
        <v>251</v>
      </c>
      <c r="P50" s="17">
        <v>5163731642</v>
      </c>
      <c r="Q50" s="14" t="s">
        <v>35</v>
      </c>
      <c r="R50" s="11">
        <v>50000</v>
      </c>
      <c r="S50" s="99">
        <v>45962</v>
      </c>
      <c r="T50" s="14" t="s">
        <v>40</v>
      </c>
      <c r="U50" s="16" t="s">
        <v>251</v>
      </c>
      <c r="V50" s="17">
        <v>5163731642</v>
      </c>
      <c r="W50" s="29" t="s">
        <v>257</v>
      </c>
      <c r="X50" s="118"/>
      <c r="Y50" s="17"/>
      <c r="Z50" s="17"/>
      <c r="AA50" s="17"/>
      <c r="AB50" s="17"/>
      <c r="AC50" s="97"/>
    </row>
    <row r="51" spans="1:29" x14ac:dyDescent="0.25">
      <c r="A51" s="8">
        <f t="shared" si="0"/>
        <v>50</v>
      </c>
      <c r="B51" s="15" t="s">
        <v>338</v>
      </c>
      <c r="C51" s="9">
        <v>80035055</v>
      </c>
      <c r="D51" s="8" t="s">
        <v>52</v>
      </c>
      <c r="E51" s="14"/>
      <c r="F51" s="11"/>
      <c r="G51" s="99"/>
      <c r="H51" s="14"/>
      <c r="I51" s="16"/>
      <c r="J51" s="17"/>
      <c r="K51" s="14"/>
      <c r="L51" s="11"/>
      <c r="M51" s="99"/>
      <c r="N51" s="14"/>
      <c r="O51" s="16"/>
      <c r="P51" s="17"/>
      <c r="Q51" s="14"/>
      <c r="R51" s="11"/>
      <c r="S51" s="99"/>
      <c r="T51" s="14"/>
      <c r="U51" s="16"/>
      <c r="V51" s="17"/>
      <c r="W51" s="87" t="s">
        <v>35</v>
      </c>
      <c r="X51" s="119">
        <v>50000</v>
      </c>
      <c r="Y51" s="120">
        <v>46004</v>
      </c>
      <c r="Z51" s="79" t="s">
        <v>40</v>
      </c>
      <c r="AA51" s="79" t="s">
        <v>251</v>
      </c>
      <c r="AB51" s="121">
        <v>5163731642</v>
      </c>
      <c r="AC51" s="97"/>
    </row>
    <row r="52" spans="1:29" x14ac:dyDescent="0.25">
      <c r="A52" s="8">
        <f t="shared" si="0"/>
        <v>51</v>
      </c>
      <c r="B52" s="12" t="s">
        <v>299</v>
      </c>
      <c r="C52" s="9">
        <v>80808550</v>
      </c>
      <c r="D52" s="8" t="s">
        <v>52</v>
      </c>
      <c r="E52" s="14" t="s">
        <v>35</v>
      </c>
      <c r="F52" s="11">
        <v>50000</v>
      </c>
      <c r="G52" s="99">
        <v>45906</v>
      </c>
      <c r="H52" s="14" t="s">
        <v>40</v>
      </c>
      <c r="I52" s="16" t="s">
        <v>251</v>
      </c>
      <c r="J52" s="17">
        <v>5163731642</v>
      </c>
      <c r="K52" s="14" t="s">
        <v>35</v>
      </c>
      <c r="L52" s="11">
        <v>50000</v>
      </c>
      <c r="M52" s="99">
        <v>45934</v>
      </c>
      <c r="N52" s="14" t="s">
        <v>40</v>
      </c>
      <c r="O52" s="16" t="s">
        <v>251</v>
      </c>
      <c r="P52" s="13">
        <v>5027586600</v>
      </c>
      <c r="Q52" s="14" t="s">
        <v>35</v>
      </c>
      <c r="R52" s="11">
        <v>50000</v>
      </c>
      <c r="S52" s="99">
        <v>45962</v>
      </c>
      <c r="T52" s="14" t="s">
        <v>40</v>
      </c>
      <c r="U52" s="16" t="s">
        <v>45</v>
      </c>
      <c r="V52" s="17">
        <v>5209009001</v>
      </c>
      <c r="W52" s="87" t="s">
        <v>35</v>
      </c>
      <c r="X52" s="119">
        <v>50000</v>
      </c>
      <c r="Y52" s="120">
        <v>46001</v>
      </c>
      <c r="Z52" s="79" t="s">
        <v>40</v>
      </c>
      <c r="AA52" s="79" t="s">
        <v>251</v>
      </c>
      <c r="AB52" s="121">
        <v>5163731642</v>
      </c>
      <c r="AC52" s="97"/>
    </row>
    <row r="53" spans="1:29" x14ac:dyDescent="0.25">
      <c r="A53" s="8">
        <f t="shared" si="0"/>
        <v>52</v>
      </c>
      <c r="B53" s="15" t="s">
        <v>333</v>
      </c>
      <c r="C53" s="9">
        <v>85286700</v>
      </c>
      <c r="D53" s="8" t="s">
        <v>52</v>
      </c>
      <c r="E53" s="14"/>
      <c r="F53" s="11"/>
      <c r="G53" s="99"/>
      <c r="H53" s="14"/>
      <c r="I53" s="16"/>
      <c r="J53" s="17"/>
      <c r="K53" s="14"/>
      <c r="L53" s="11"/>
      <c r="M53" s="99"/>
      <c r="N53" s="14"/>
      <c r="O53" s="16"/>
      <c r="P53" s="13"/>
      <c r="Q53" s="14"/>
      <c r="R53" s="11"/>
      <c r="S53" s="99"/>
      <c r="T53" s="14"/>
      <c r="U53" s="16"/>
      <c r="V53" s="17"/>
      <c r="W53" s="87" t="s">
        <v>35</v>
      </c>
      <c r="X53" s="119">
        <v>50000</v>
      </c>
      <c r="Y53" s="120">
        <v>46004</v>
      </c>
      <c r="Z53" s="79" t="s">
        <v>40</v>
      </c>
      <c r="AA53" s="79" t="s">
        <v>251</v>
      </c>
      <c r="AB53" s="121">
        <v>5163731642</v>
      </c>
      <c r="AC53" s="97"/>
    </row>
    <row r="54" spans="1:29" x14ac:dyDescent="0.25">
      <c r="A54" s="8">
        <f t="shared" si="0"/>
        <v>53</v>
      </c>
      <c r="B54" s="12" t="s">
        <v>300</v>
      </c>
      <c r="C54" s="9"/>
      <c r="D54" s="8" t="s">
        <v>52</v>
      </c>
      <c r="E54" s="33" t="s">
        <v>259</v>
      </c>
      <c r="F54" s="98"/>
      <c r="G54" s="9"/>
      <c r="H54" s="97"/>
      <c r="I54" s="9"/>
      <c r="J54" s="8"/>
      <c r="K54" s="14" t="s">
        <v>257</v>
      </c>
      <c r="L54" s="9"/>
      <c r="M54" s="9"/>
      <c r="N54" s="97"/>
      <c r="O54" s="97"/>
      <c r="P54" s="97"/>
      <c r="Q54" s="14" t="s">
        <v>257</v>
      </c>
      <c r="R54" s="12"/>
      <c r="S54" s="12"/>
      <c r="T54" s="14"/>
      <c r="U54" s="14"/>
      <c r="V54" s="14"/>
      <c r="W54" s="29" t="s">
        <v>257</v>
      </c>
      <c r="X54" s="43"/>
      <c r="Y54" s="14"/>
      <c r="Z54" s="17"/>
      <c r="AA54" s="17"/>
      <c r="AB54" s="14"/>
      <c r="AC54" s="97"/>
    </row>
    <row r="55" spans="1:29" x14ac:dyDescent="0.25">
      <c r="A55" s="8">
        <f t="shared" si="0"/>
        <v>54</v>
      </c>
      <c r="B55" s="12" t="s">
        <v>301</v>
      </c>
      <c r="C55" s="9"/>
      <c r="D55" s="8" t="s">
        <v>52</v>
      </c>
      <c r="E55" s="14" t="s">
        <v>35</v>
      </c>
      <c r="F55" s="11">
        <v>50000</v>
      </c>
      <c r="G55" s="99">
        <v>45903</v>
      </c>
      <c r="H55" s="14" t="s">
        <v>41</v>
      </c>
      <c r="I55" s="12"/>
      <c r="J55" s="13"/>
      <c r="K55" s="14" t="s">
        <v>257</v>
      </c>
      <c r="L55" s="9"/>
      <c r="M55" s="10"/>
      <c r="N55" s="97"/>
      <c r="O55" s="97"/>
      <c r="P55" s="97"/>
      <c r="Q55" s="14" t="s">
        <v>35</v>
      </c>
      <c r="R55" s="11">
        <v>50000</v>
      </c>
      <c r="S55" s="99">
        <v>45966</v>
      </c>
      <c r="T55" s="14" t="s">
        <v>40</v>
      </c>
      <c r="U55" s="16" t="s">
        <v>45</v>
      </c>
      <c r="V55" s="17">
        <v>5209009001</v>
      </c>
      <c r="W55" s="29" t="s">
        <v>257</v>
      </c>
      <c r="X55" s="118"/>
      <c r="Y55" s="17"/>
      <c r="Z55" s="17"/>
      <c r="AA55" s="17"/>
      <c r="AB55" s="17"/>
      <c r="AC55" s="97"/>
    </row>
    <row r="56" spans="1:29" x14ac:dyDescent="0.25">
      <c r="A56" s="8">
        <f t="shared" si="0"/>
        <v>55</v>
      </c>
      <c r="B56" s="12" t="s">
        <v>302</v>
      </c>
      <c r="C56" s="9">
        <v>99152220</v>
      </c>
      <c r="D56" s="8" t="s">
        <v>52</v>
      </c>
      <c r="E56" s="14" t="s">
        <v>35</v>
      </c>
      <c r="F56" s="11">
        <v>50000</v>
      </c>
      <c r="G56" s="99">
        <v>45906</v>
      </c>
      <c r="H56" s="14" t="s">
        <v>40</v>
      </c>
      <c r="I56" s="16" t="s">
        <v>251</v>
      </c>
      <c r="J56" s="17">
        <v>5163731642</v>
      </c>
      <c r="K56" s="14" t="s">
        <v>35</v>
      </c>
      <c r="L56" s="11">
        <v>50000</v>
      </c>
      <c r="M56" s="99">
        <v>45941</v>
      </c>
      <c r="N56" s="14" t="s">
        <v>40</v>
      </c>
      <c r="O56" s="16" t="s">
        <v>251</v>
      </c>
      <c r="P56" s="17">
        <v>5163731642</v>
      </c>
      <c r="Q56" s="14" t="s">
        <v>35</v>
      </c>
      <c r="R56" s="11">
        <v>50000</v>
      </c>
      <c r="S56" s="99">
        <v>45962</v>
      </c>
      <c r="T56" s="14" t="s">
        <v>40</v>
      </c>
      <c r="U56" s="16" t="s">
        <v>251</v>
      </c>
      <c r="V56" s="17">
        <v>5163731642</v>
      </c>
      <c r="W56" s="87" t="s">
        <v>35</v>
      </c>
      <c r="X56" s="119">
        <v>50000</v>
      </c>
      <c r="Y56" s="120">
        <v>45997</v>
      </c>
      <c r="Z56" s="79" t="s">
        <v>40</v>
      </c>
      <c r="AA56" s="79" t="s">
        <v>251</v>
      </c>
      <c r="AB56" s="121">
        <v>5163731642</v>
      </c>
      <c r="AC56" s="97"/>
    </row>
    <row r="57" spans="1:29" ht="25.5" x14ac:dyDescent="0.25">
      <c r="A57" s="8">
        <f t="shared" si="0"/>
        <v>56</v>
      </c>
      <c r="B57" s="12" t="s">
        <v>303</v>
      </c>
      <c r="C57" s="9">
        <v>99830806</v>
      </c>
      <c r="D57" s="8" t="s">
        <v>52</v>
      </c>
      <c r="E57" s="14" t="s">
        <v>35</v>
      </c>
      <c r="F57" s="11">
        <v>600000</v>
      </c>
      <c r="G57" s="99">
        <v>45903</v>
      </c>
      <c r="H57" s="14" t="s">
        <v>40</v>
      </c>
      <c r="I57" s="16" t="s">
        <v>251</v>
      </c>
      <c r="J57" s="13">
        <v>5027586600</v>
      </c>
      <c r="K57" s="14" t="s">
        <v>35</v>
      </c>
      <c r="L57" s="11">
        <v>0</v>
      </c>
      <c r="M57" s="99">
        <v>45903</v>
      </c>
      <c r="N57" s="14" t="s">
        <v>40</v>
      </c>
      <c r="O57" s="16" t="s">
        <v>251</v>
      </c>
      <c r="P57" s="13">
        <v>5027586600</v>
      </c>
      <c r="Q57" s="14" t="s">
        <v>35</v>
      </c>
      <c r="R57" s="11">
        <v>0</v>
      </c>
      <c r="S57" s="99">
        <v>45903</v>
      </c>
      <c r="T57" s="14" t="s">
        <v>40</v>
      </c>
      <c r="U57" s="16" t="s">
        <v>251</v>
      </c>
      <c r="V57" s="13">
        <v>5027586600</v>
      </c>
      <c r="W57" s="87" t="s">
        <v>35</v>
      </c>
      <c r="X57" s="124">
        <v>0</v>
      </c>
      <c r="Y57" s="120">
        <v>45903</v>
      </c>
      <c r="Z57" s="79" t="s">
        <v>40</v>
      </c>
      <c r="AA57" s="123" t="s">
        <v>251</v>
      </c>
      <c r="AB57" s="125">
        <v>5027586600</v>
      </c>
      <c r="AC57" s="39" t="s">
        <v>343</v>
      </c>
    </row>
    <row r="58" spans="1:29" x14ac:dyDescent="0.25">
      <c r="A58" s="8">
        <f t="shared" si="0"/>
        <v>57</v>
      </c>
      <c r="B58" s="12" t="s">
        <v>304</v>
      </c>
      <c r="C58" s="9">
        <v>94684289</v>
      </c>
      <c r="D58" s="8" t="s">
        <v>52</v>
      </c>
      <c r="E58" s="14" t="s">
        <v>257</v>
      </c>
      <c r="F58" s="11"/>
      <c r="G58" s="99"/>
      <c r="H58" s="14"/>
      <c r="I58" s="16"/>
      <c r="J58" s="13"/>
      <c r="K58" s="100" t="s">
        <v>35</v>
      </c>
      <c r="L58" s="101">
        <v>50000</v>
      </c>
      <c r="M58" s="102">
        <v>45931</v>
      </c>
      <c r="N58" s="100" t="s">
        <v>40</v>
      </c>
      <c r="O58" s="16"/>
      <c r="P58" s="13"/>
      <c r="Q58" s="100" t="s">
        <v>35</v>
      </c>
      <c r="R58" s="101">
        <v>50000</v>
      </c>
      <c r="S58" s="102">
        <v>45966</v>
      </c>
      <c r="T58" s="100" t="s">
        <v>40</v>
      </c>
      <c r="U58" s="107"/>
      <c r="V58" s="13"/>
      <c r="W58" s="87" t="s">
        <v>35</v>
      </c>
      <c r="X58" s="119">
        <v>50000</v>
      </c>
      <c r="Y58" s="120">
        <v>45994</v>
      </c>
      <c r="Z58" s="79" t="s">
        <v>40</v>
      </c>
      <c r="AA58" s="79" t="s">
        <v>251</v>
      </c>
      <c r="AB58" s="121">
        <v>5163731642</v>
      </c>
      <c r="AC58" s="97"/>
    </row>
    <row r="59" spans="1:29" x14ac:dyDescent="0.25">
      <c r="A59" s="8">
        <f t="shared" si="0"/>
        <v>58</v>
      </c>
      <c r="B59" s="12" t="s">
        <v>305</v>
      </c>
      <c r="C59" s="9">
        <v>99923928</v>
      </c>
      <c r="D59" s="8" t="s">
        <v>52</v>
      </c>
      <c r="E59" s="14" t="s">
        <v>35</v>
      </c>
      <c r="F59" s="11">
        <v>50000</v>
      </c>
      <c r="G59" s="99">
        <v>45906</v>
      </c>
      <c r="H59" s="14" t="s">
        <v>40</v>
      </c>
      <c r="I59" s="16" t="s">
        <v>251</v>
      </c>
      <c r="J59" s="17">
        <v>5163731642</v>
      </c>
      <c r="K59" s="14" t="s">
        <v>35</v>
      </c>
      <c r="L59" s="11">
        <v>50000</v>
      </c>
      <c r="M59" s="99">
        <v>45952</v>
      </c>
      <c r="N59" s="14" t="s">
        <v>40</v>
      </c>
      <c r="O59" s="16" t="s">
        <v>251</v>
      </c>
      <c r="P59" s="17">
        <v>5163731642</v>
      </c>
      <c r="Q59" s="100" t="s">
        <v>35</v>
      </c>
      <c r="R59" s="101">
        <v>50000</v>
      </c>
      <c r="S59" s="102">
        <v>45973</v>
      </c>
      <c r="T59" s="100" t="s">
        <v>40</v>
      </c>
      <c r="U59" s="107" t="s">
        <v>251</v>
      </c>
      <c r="V59" s="14"/>
      <c r="W59" s="87" t="s">
        <v>35</v>
      </c>
      <c r="X59" s="119">
        <v>50000</v>
      </c>
      <c r="Y59" s="120">
        <v>46001</v>
      </c>
      <c r="Z59" s="79" t="s">
        <v>40</v>
      </c>
      <c r="AA59" s="79" t="s">
        <v>251</v>
      </c>
      <c r="AB59" s="121">
        <v>5163731642</v>
      </c>
      <c r="AC59" s="97"/>
    </row>
    <row r="60" spans="1:29" x14ac:dyDescent="0.25">
      <c r="A60" s="8">
        <f t="shared" si="0"/>
        <v>59</v>
      </c>
      <c r="B60" s="15" t="s">
        <v>337</v>
      </c>
      <c r="C60" s="9">
        <v>99545040</v>
      </c>
      <c r="D60" s="8" t="s">
        <v>52</v>
      </c>
      <c r="E60" s="14"/>
      <c r="F60" s="11"/>
      <c r="G60" s="99"/>
      <c r="H60" s="14"/>
      <c r="I60" s="16"/>
      <c r="J60" s="17"/>
      <c r="K60" s="14"/>
      <c r="L60" s="11"/>
      <c r="M60" s="99"/>
      <c r="N60" s="14"/>
      <c r="O60" s="16"/>
      <c r="P60" s="17"/>
      <c r="Q60" s="100"/>
      <c r="R60" s="101"/>
      <c r="S60" s="102"/>
      <c r="T60" s="100"/>
      <c r="U60" s="107"/>
      <c r="V60" s="14"/>
      <c r="W60" s="87" t="s">
        <v>35</v>
      </c>
      <c r="X60" s="119">
        <v>100000</v>
      </c>
      <c r="Y60" s="120">
        <v>46004</v>
      </c>
      <c r="Z60" s="79" t="s">
        <v>40</v>
      </c>
      <c r="AA60" s="79" t="s">
        <v>251</v>
      </c>
      <c r="AB60" s="121">
        <v>5163731642</v>
      </c>
      <c r="AC60" s="97"/>
    </row>
    <row r="61" spans="1:29" x14ac:dyDescent="0.25">
      <c r="A61" s="8">
        <f t="shared" si="0"/>
        <v>60</v>
      </c>
      <c r="B61" s="12" t="s">
        <v>306</v>
      </c>
      <c r="C61" s="9">
        <v>99280890</v>
      </c>
      <c r="D61" s="8" t="s">
        <v>52</v>
      </c>
      <c r="E61" s="14" t="s">
        <v>35</v>
      </c>
      <c r="F61" s="11">
        <v>50000</v>
      </c>
      <c r="G61" s="99">
        <v>45917</v>
      </c>
      <c r="H61" s="14" t="s">
        <v>40</v>
      </c>
      <c r="I61" s="16" t="s">
        <v>251</v>
      </c>
      <c r="J61" s="17">
        <v>5163731642</v>
      </c>
      <c r="K61" s="14" t="s">
        <v>35</v>
      </c>
      <c r="L61" s="11">
        <v>50000</v>
      </c>
      <c r="M61" s="99">
        <v>45941</v>
      </c>
      <c r="N61" s="14" t="s">
        <v>40</v>
      </c>
      <c r="O61" s="16" t="s">
        <v>251</v>
      </c>
      <c r="P61" s="17">
        <v>5163731642</v>
      </c>
      <c r="Q61" s="14" t="s">
        <v>35</v>
      </c>
      <c r="R61" s="11">
        <v>50000</v>
      </c>
      <c r="S61" s="99">
        <v>45973</v>
      </c>
      <c r="T61" s="14" t="s">
        <v>40</v>
      </c>
      <c r="U61" s="16" t="s">
        <v>251</v>
      </c>
      <c r="V61" s="17">
        <v>5163731642</v>
      </c>
      <c r="W61" s="29" t="s">
        <v>257</v>
      </c>
      <c r="X61" s="118"/>
      <c r="Y61" s="17"/>
      <c r="Z61" s="17"/>
      <c r="AA61" s="17"/>
      <c r="AB61" s="17"/>
      <c r="AC61" s="97"/>
    </row>
    <row r="62" spans="1:29" x14ac:dyDescent="0.25">
      <c r="A62" s="8">
        <f t="shared" si="0"/>
        <v>61</v>
      </c>
      <c r="B62" s="12" t="s">
        <v>307</v>
      </c>
      <c r="C62" s="9">
        <v>80699359</v>
      </c>
      <c r="D62" s="8" t="s">
        <v>52</v>
      </c>
      <c r="E62" s="33" t="s">
        <v>259</v>
      </c>
      <c r="F62" s="98"/>
      <c r="G62" s="99"/>
      <c r="H62" s="14"/>
      <c r="I62" s="12"/>
      <c r="J62" s="13"/>
      <c r="K62" s="8" t="s">
        <v>35</v>
      </c>
      <c r="L62" s="11">
        <v>50000</v>
      </c>
      <c r="M62" s="99">
        <v>45931</v>
      </c>
      <c r="N62" s="14" t="s">
        <v>40</v>
      </c>
      <c r="O62" s="16" t="s">
        <v>251</v>
      </c>
      <c r="P62" s="17">
        <v>5163731642</v>
      </c>
      <c r="Q62" s="14" t="s">
        <v>257</v>
      </c>
      <c r="R62" s="12"/>
      <c r="S62" s="99"/>
      <c r="T62" s="14"/>
      <c r="U62" s="14"/>
      <c r="V62" s="14"/>
      <c r="W62" s="29" t="s">
        <v>257</v>
      </c>
      <c r="X62" s="43"/>
      <c r="Y62" s="14"/>
      <c r="Z62" s="17"/>
      <c r="AA62" s="17"/>
      <c r="AB62" s="14"/>
      <c r="AC62" s="97"/>
    </row>
    <row r="63" spans="1:29" x14ac:dyDescent="0.25">
      <c r="A63" s="8">
        <f t="shared" si="0"/>
        <v>62</v>
      </c>
      <c r="B63" s="15" t="s">
        <v>328</v>
      </c>
      <c r="C63" s="9">
        <v>99152589</v>
      </c>
      <c r="D63" s="8" t="s">
        <v>52</v>
      </c>
      <c r="E63" s="33"/>
      <c r="F63" s="98"/>
      <c r="G63" s="99"/>
      <c r="H63" s="14"/>
      <c r="I63" s="12"/>
      <c r="J63" s="13"/>
      <c r="K63" s="8"/>
      <c r="L63" s="11"/>
      <c r="M63" s="99"/>
      <c r="N63" s="14"/>
      <c r="O63" s="16"/>
      <c r="P63" s="17"/>
      <c r="Q63" s="14"/>
      <c r="R63" s="12"/>
      <c r="S63" s="99"/>
      <c r="T63" s="14"/>
      <c r="U63" s="14"/>
      <c r="V63" s="14"/>
      <c r="W63" s="87" t="s">
        <v>35</v>
      </c>
      <c r="X63" s="119">
        <v>50000</v>
      </c>
      <c r="Y63" s="120">
        <v>46001</v>
      </c>
      <c r="Z63" s="79" t="s">
        <v>40</v>
      </c>
      <c r="AA63" s="79" t="s">
        <v>251</v>
      </c>
      <c r="AB63" s="121">
        <v>5163731642</v>
      </c>
      <c r="AC63" s="97"/>
    </row>
    <row r="64" spans="1:29" x14ac:dyDescent="0.25">
      <c r="A64" s="8">
        <f t="shared" si="0"/>
        <v>63</v>
      </c>
      <c r="B64" s="12" t="s">
        <v>308</v>
      </c>
      <c r="C64" s="9"/>
      <c r="D64" s="8" t="s">
        <v>52</v>
      </c>
      <c r="E64" s="33" t="s">
        <v>259</v>
      </c>
      <c r="F64" s="98"/>
      <c r="G64" s="9"/>
      <c r="H64" s="97"/>
      <c r="I64" s="9"/>
      <c r="J64" s="8"/>
      <c r="K64" s="14" t="s">
        <v>257</v>
      </c>
      <c r="L64" s="9"/>
      <c r="M64" s="9"/>
      <c r="N64" s="97"/>
      <c r="O64" s="97"/>
      <c r="P64" s="97"/>
      <c r="Q64" s="14" t="s">
        <v>257</v>
      </c>
      <c r="R64" s="12"/>
      <c r="S64" s="12"/>
      <c r="T64" s="14"/>
      <c r="U64" s="14"/>
      <c r="V64" s="14"/>
      <c r="W64" s="29" t="s">
        <v>257</v>
      </c>
      <c r="X64" s="43"/>
      <c r="Y64" s="14"/>
      <c r="Z64" s="17"/>
      <c r="AA64" s="17"/>
      <c r="AB64" s="14"/>
      <c r="AC64" s="97"/>
    </row>
    <row r="65" spans="1:29" x14ac:dyDescent="0.25">
      <c r="A65" s="8">
        <f t="shared" si="0"/>
        <v>64</v>
      </c>
      <c r="B65" s="15" t="s">
        <v>339</v>
      </c>
      <c r="C65" s="9">
        <v>89102748</v>
      </c>
      <c r="D65" s="8" t="s">
        <v>52</v>
      </c>
      <c r="E65" s="33"/>
      <c r="F65" s="98"/>
      <c r="G65" s="9"/>
      <c r="H65" s="97"/>
      <c r="I65" s="9"/>
      <c r="J65" s="8"/>
      <c r="K65" s="14"/>
      <c r="L65" s="9"/>
      <c r="M65" s="9"/>
      <c r="N65" s="97"/>
      <c r="O65" s="97"/>
      <c r="P65" s="97"/>
      <c r="Q65" s="14"/>
      <c r="R65" s="12"/>
      <c r="S65" s="12"/>
      <c r="T65" s="14"/>
      <c r="U65" s="14"/>
      <c r="V65" s="14"/>
      <c r="W65" s="63" t="s">
        <v>259</v>
      </c>
      <c r="X65" s="43"/>
      <c r="Y65" s="14"/>
      <c r="Z65" s="17"/>
      <c r="AA65" s="17"/>
      <c r="AB65" s="14"/>
      <c r="AC65" s="97"/>
    </row>
    <row r="66" spans="1:29" x14ac:dyDescent="0.25">
      <c r="A66" s="8">
        <f t="shared" si="0"/>
        <v>65</v>
      </c>
      <c r="B66" s="12" t="s">
        <v>309</v>
      </c>
      <c r="C66" s="9"/>
      <c r="D66" s="8" t="s">
        <v>52</v>
      </c>
      <c r="E66" s="33" t="s">
        <v>259</v>
      </c>
      <c r="F66" s="98"/>
      <c r="G66" s="9"/>
      <c r="H66" s="97"/>
      <c r="I66" s="9"/>
      <c r="J66" s="8"/>
      <c r="K66" s="14" t="s">
        <v>257</v>
      </c>
      <c r="L66" s="9"/>
      <c r="M66" s="9"/>
      <c r="N66" s="97"/>
      <c r="O66" s="97"/>
      <c r="P66" s="97"/>
      <c r="Q66" s="14" t="s">
        <v>257</v>
      </c>
      <c r="R66" s="12"/>
      <c r="S66" s="12"/>
      <c r="T66" s="14"/>
      <c r="U66" s="14"/>
      <c r="V66" s="14"/>
      <c r="W66" s="29" t="s">
        <v>257</v>
      </c>
      <c r="X66" s="43"/>
      <c r="Y66" s="14"/>
      <c r="Z66" s="17"/>
      <c r="AA66" s="17"/>
      <c r="AB66" s="14"/>
      <c r="AC66" s="97"/>
    </row>
    <row r="67" spans="1:29" x14ac:dyDescent="0.25">
      <c r="A67" s="8">
        <f t="shared" si="0"/>
        <v>66</v>
      </c>
      <c r="B67" s="12" t="s">
        <v>310</v>
      </c>
      <c r="C67" s="9"/>
      <c r="D67" s="8" t="s">
        <v>52</v>
      </c>
      <c r="E67" s="33" t="s">
        <v>259</v>
      </c>
      <c r="F67" s="98"/>
      <c r="G67" s="9"/>
      <c r="H67" s="97"/>
      <c r="I67" s="9"/>
      <c r="J67" s="8"/>
      <c r="K67" s="14" t="s">
        <v>257</v>
      </c>
      <c r="L67" s="9"/>
      <c r="M67" s="9"/>
      <c r="N67" s="97"/>
      <c r="O67" s="97"/>
      <c r="P67" s="97"/>
      <c r="Q67" s="14" t="s">
        <v>257</v>
      </c>
      <c r="R67" s="12"/>
      <c r="S67" s="12"/>
      <c r="T67" s="14"/>
      <c r="U67" s="14"/>
      <c r="V67" s="14"/>
      <c r="W67" s="29" t="s">
        <v>257</v>
      </c>
      <c r="X67" s="43"/>
      <c r="Y67" s="14"/>
      <c r="Z67" s="17"/>
      <c r="AA67" s="17"/>
      <c r="AB67" s="14"/>
      <c r="AC67" s="97"/>
    </row>
    <row r="68" spans="1:29" x14ac:dyDescent="0.25">
      <c r="A68" s="8">
        <f t="shared" ref="A68:A77" si="1">A67+1</f>
        <v>67</v>
      </c>
      <c r="B68" s="12" t="s">
        <v>311</v>
      </c>
      <c r="C68" s="9">
        <v>96646978</v>
      </c>
      <c r="D68" s="8" t="s">
        <v>52</v>
      </c>
      <c r="E68" s="14" t="s">
        <v>35</v>
      </c>
      <c r="F68" s="11">
        <v>50000</v>
      </c>
      <c r="G68" s="99">
        <v>45903</v>
      </c>
      <c r="H68" s="14" t="s">
        <v>41</v>
      </c>
      <c r="I68" s="12"/>
      <c r="J68" s="13"/>
      <c r="K68" s="14" t="s">
        <v>257</v>
      </c>
      <c r="L68" s="9"/>
      <c r="M68" s="10"/>
      <c r="N68" s="97"/>
      <c r="O68" s="97"/>
      <c r="P68" s="97"/>
      <c r="Q68" s="14" t="s">
        <v>257</v>
      </c>
      <c r="R68" s="12"/>
      <c r="S68" s="99"/>
      <c r="T68" s="14"/>
      <c r="U68" s="14"/>
      <c r="V68" s="14"/>
      <c r="W68" s="29" t="s">
        <v>257</v>
      </c>
      <c r="X68" s="43"/>
      <c r="Y68" s="14"/>
      <c r="Z68" s="17"/>
      <c r="AA68" s="17"/>
      <c r="AB68" s="14"/>
      <c r="AC68" s="97"/>
    </row>
    <row r="69" spans="1:29" x14ac:dyDescent="0.25">
      <c r="A69" s="8">
        <f t="shared" si="1"/>
        <v>68</v>
      </c>
      <c r="B69" s="12" t="s">
        <v>312</v>
      </c>
      <c r="C69" s="9"/>
      <c r="D69" s="8" t="s">
        <v>52</v>
      </c>
      <c r="E69" s="14" t="s">
        <v>35</v>
      </c>
      <c r="F69" s="11">
        <v>50000</v>
      </c>
      <c r="G69" s="99">
        <v>45906</v>
      </c>
      <c r="H69" s="14" t="s">
        <v>40</v>
      </c>
      <c r="I69" s="16" t="s">
        <v>251</v>
      </c>
      <c r="J69" s="17">
        <v>5163731642</v>
      </c>
      <c r="K69" s="14" t="s">
        <v>35</v>
      </c>
      <c r="L69" s="11">
        <v>50000</v>
      </c>
      <c r="M69" s="99">
        <v>45941</v>
      </c>
      <c r="N69" s="14" t="s">
        <v>40</v>
      </c>
      <c r="O69" s="16" t="s">
        <v>251</v>
      </c>
      <c r="P69" s="17">
        <v>5163731642</v>
      </c>
      <c r="Q69" s="14" t="s">
        <v>35</v>
      </c>
      <c r="R69" s="11">
        <v>50000</v>
      </c>
      <c r="S69" s="99">
        <v>45969</v>
      </c>
      <c r="T69" s="14" t="s">
        <v>40</v>
      </c>
      <c r="U69" s="16" t="s">
        <v>45</v>
      </c>
      <c r="V69" s="17">
        <v>5209009001</v>
      </c>
      <c r="W69" s="87" t="s">
        <v>35</v>
      </c>
      <c r="X69" s="119">
        <v>50000</v>
      </c>
      <c r="Y69" s="120">
        <v>46004</v>
      </c>
      <c r="Z69" s="79" t="s">
        <v>40</v>
      </c>
      <c r="AA69" s="79" t="s">
        <v>251</v>
      </c>
      <c r="AB69" s="121">
        <v>5163731642</v>
      </c>
      <c r="AC69" s="97"/>
    </row>
    <row r="70" spans="1:29" x14ac:dyDescent="0.25">
      <c r="A70" s="8">
        <f t="shared" si="1"/>
        <v>69</v>
      </c>
      <c r="B70" s="12" t="s">
        <v>313</v>
      </c>
      <c r="C70" s="12">
        <v>99271599</v>
      </c>
      <c r="D70" s="13" t="s">
        <v>52</v>
      </c>
      <c r="E70" s="14" t="s">
        <v>35</v>
      </c>
      <c r="F70" s="11">
        <v>50000</v>
      </c>
      <c r="G70" s="99">
        <v>45903</v>
      </c>
      <c r="H70" s="14" t="s">
        <v>40</v>
      </c>
      <c r="I70" s="16" t="s">
        <v>251</v>
      </c>
      <c r="J70" s="13">
        <v>5027586600</v>
      </c>
      <c r="K70" s="14" t="s">
        <v>35</v>
      </c>
      <c r="L70" s="11">
        <v>50000</v>
      </c>
      <c r="M70" s="99">
        <v>45941</v>
      </c>
      <c r="N70" s="14" t="s">
        <v>40</v>
      </c>
      <c r="O70" s="16" t="s">
        <v>251</v>
      </c>
      <c r="P70" s="17">
        <v>5163731642</v>
      </c>
      <c r="Q70" s="14" t="s">
        <v>35</v>
      </c>
      <c r="R70" s="11">
        <v>50000</v>
      </c>
      <c r="S70" s="99">
        <v>45962</v>
      </c>
      <c r="T70" s="14" t="s">
        <v>41</v>
      </c>
      <c r="U70" s="14"/>
      <c r="V70" s="14"/>
      <c r="W70" s="87" t="s">
        <v>35</v>
      </c>
      <c r="X70" s="119">
        <v>50000</v>
      </c>
      <c r="Y70" s="120">
        <v>46011</v>
      </c>
      <c r="Z70" s="79" t="s">
        <v>40</v>
      </c>
      <c r="AA70" s="79" t="s">
        <v>251</v>
      </c>
      <c r="AB70" s="121">
        <v>5163731642</v>
      </c>
      <c r="AC70" s="97"/>
    </row>
    <row r="71" spans="1:29" x14ac:dyDescent="0.25">
      <c r="A71" s="8">
        <f t="shared" si="1"/>
        <v>70</v>
      </c>
      <c r="B71" s="12" t="s">
        <v>327</v>
      </c>
      <c r="C71" s="12">
        <v>99467634</v>
      </c>
      <c r="D71" s="13" t="s">
        <v>52</v>
      </c>
      <c r="E71" s="14"/>
      <c r="F71" s="11"/>
      <c r="G71" s="99"/>
      <c r="H71" s="14"/>
      <c r="I71" s="16"/>
      <c r="J71" s="13"/>
      <c r="K71" s="14"/>
      <c r="L71" s="11"/>
      <c r="M71" s="99"/>
      <c r="N71" s="14"/>
      <c r="O71" s="16"/>
      <c r="P71" s="17"/>
      <c r="Q71" s="14"/>
      <c r="R71" s="11"/>
      <c r="S71" s="99"/>
      <c r="T71" s="14"/>
      <c r="U71" s="14"/>
      <c r="V71" s="14"/>
      <c r="W71" s="87" t="s">
        <v>35</v>
      </c>
      <c r="X71" s="119">
        <v>150000</v>
      </c>
      <c r="Y71" s="120">
        <v>45990</v>
      </c>
      <c r="Z71" s="79" t="s">
        <v>40</v>
      </c>
      <c r="AA71" s="79" t="s">
        <v>251</v>
      </c>
      <c r="AB71" s="121">
        <v>5163731642</v>
      </c>
      <c r="AC71" s="97"/>
    </row>
    <row r="72" spans="1:29" x14ac:dyDescent="0.25">
      <c r="A72" s="8">
        <f t="shared" si="1"/>
        <v>71</v>
      </c>
      <c r="B72" s="12" t="s">
        <v>314</v>
      </c>
      <c r="C72" s="9">
        <v>99067726</v>
      </c>
      <c r="D72" s="13" t="s">
        <v>52</v>
      </c>
      <c r="E72" s="14" t="s">
        <v>35</v>
      </c>
      <c r="F72" s="11">
        <v>50000</v>
      </c>
      <c r="G72" s="99">
        <v>45917</v>
      </c>
      <c r="H72" s="14" t="s">
        <v>40</v>
      </c>
      <c r="I72" s="16" t="s">
        <v>251</v>
      </c>
      <c r="J72" s="17">
        <v>5163731642</v>
      </c>
      <c r="K72" s="14" t="s">
        <v>257</v>
      </c>
      <c r="L72" s="9"/>
      <c r="M72" s="10"/>
      <c r="N72" s="97"/>
      <c r="O72" s="97"/>
      <c r="P72" s="97"/>
      <c r="Q72" s="14" t="s">
        <v>257</v>
      </c>
      <c r="R72" s="12"/>
      <c r="S72" s="99"/>
      <c r="T72" s="14"/>
      <c r="U72" s="14"/>
      <c r="V72" s="14"/>
      <c r="W72" s="29" t="s">
        <v>257</v>
      </c>
      <c r="X72" s="43"/>
      <c r="Y72" s="14"/>
      <c r="Z72" s="17"/>
      <c r="AA72" s="17"/>
      <c r="AB72" s="14"/>
      <c r="AC72" s="97"/>
    </row>
    <row r="73" spans="1:29" x14ac:dyDescent="0.25">
      <c r="A73" s="8">
        <f t="shared" si="1"/>
        <v>72</v>
      </c>
      <c r="B73" s="12" t="s">
        <v>315</v>
      </c>
      <c r="C73" s="9"/>
      <c r="D73" s="8" t="s">
        <v>52</v>
      </c>
      <c r="E73" s="97" t="s">
        <v>316</v>
      </c>
      <c r="F73" s="108" t="s">
        <v>317</v>
      </c>
      <c r="G73" s="9"/>
      <c r="H73" s="97"/>
      <c r="I73" s="9"/>
      <c r="J73" s="8"/>
      <c r="K73" s="14" t="s">
        <v>35</v>
      </c>
      <c r="L73" s="11">
        <v>50000</v>
      </c>
      <c r="M73" s="99">
        <v>45938</v>
      </c>
      <c r="N73" s="14" t="s">
        <v>40</v>
      </c>
      <c r="O73" s="16" t="s">
        <v>251</v>
      </c>
      <c r="P73" s="17">
        <v>5163731642</v>
      </c>
      <c r="Q73" s="14" t="s">
        <v>35</v>
      </c>
      <c r="R73" s="11">
        <v>50000</v>
      </c>
      <c r="S73" s="99">
        <v>45962</v>
      </c>
      <c r="T73" s="14" t="s">
        <v>40</v>
      </c>
      <c r="U73" s="16" t="s">
        <v>45</v>
      </c>
      <c r="V73" s="17">
        <v>5209009001</v>
      </c>
      <c r="W73" s="29" t="s">
        <v>257</v>
      </c>
      <c r="X73" s="118"/>
      <c r="Y73" s="17"/>
      <c r="Z73" s="17"/>
      <c r="AA73" s="17"/>
      <c r="AB73" s="17"/>
      <c r="AC73" s="97"/>
    </row>
    <row r="74" spans="1:29" x14ac:dyDescent="0.25">
      <c r="A74" s="8">
        <f t="shared" si="1"/>
        <v>73</v>
      </c>
      <c r="B74" s="12" t="s">
        <v>318</v>
      </c>
      <c r="C74" s="9"/>
      <c r="D74" s="8" t="s">
        <v>52</v>
      </c>
      <c r="E74" s="97" t="s">
        <v>257</v>
      </c>
      <c r="F74" s="98"/>
      <c r="G74" s="9"/>
      <c r="H74" s="97"/>
      <c r="I74" s="9"/>
      <c r="J74" s="8"/>
      <c r="K74" s="14" t="s">
        <v>257</v>
      </c>
      <c r="L74" s="8"/>
      <c r="M74" s="8"/>
      <c r="N74" s="8"/>
      <c r="O74" s="8"/>
      <c r="P74" s="8"/>
      <c r="Q74" s="14" t="s">
        <v>35</v>
      </c>
      <c r="R74" s="11">
        <v>50000</v>
      </c>
      <c r="S74" s="99">
        <v>45966</v>
      </c>
      <c r="T74" s="14" t="s">
        <v>40</v>
      </c>
      <c r="U74" s="16" t="s">
        <v>251</v>
      </c>
      <c r="V74" s="17">
        <v>5163731642</v>
      </c>
      <c r="W74" s="29" t="s">
        <v>257</v>
      </c>
      <c r="X74" s="118"/>
      <c r="Y74" s="17"/>
      <c r="Z74" s="17"/>
      <c r="AA74" s="17"/>
      <c r="AB74" s="17"/>
      <c r="AC74" s="97"/>
    </row>
    <row r="75" spans="1:29" x14ac:dyDescent="0.25">
      <c r="A75" s="8">
        <f t="shared" si="1"/>
        <v>74</v>
      </c>
      <c r="B75" s="12" t="s">
        <v>334</v>
      </c>
      <c r="C75" s="9">
        <v>99894478</v>
      </c>
      <c r="D75" s="8" t="s">
        <v>52</v>
      </c>
      <c r="E75" s="97"/>
      <c r="F75" s="98"/>
      <c r="G75" s="9"/>
      <c r="H75" s="97"/>
      <c r="I75" s="9"/>
      <c r="J75" s="8"/>
      <c r="K75" s="14"/>
      <c r="L75" s="8"/>
      <c r="M75" s="8"/>
      <c r="N75" s="8"/>
      <c r="O75" s="8"/>
      <c r="P75" s="8"/>
      <c r="Q75" s="14"/>
      <c r="R75" s="11"/>
      <c r="S75" s="99"/>
      <c r="T75" s="14"/>
      <c r="U75" s="16"/>
      <c r="V75" s="17"/>
      <c r="W75" s="87" t="s">
        <v>35</v>
      </c>
      <c r="X75" s="119">
        <v>50000</v>
      </c>
      <c r="Y75" s="120">
        <v>46004</v>
      </c>
      <c r="Z75" s="79" t="s">
        <v>40</v>
      </c>
      <c r="AA75" s="79" t="s">
        <v>251</v>
      </c>
      <c r="AB75" s="121">
        <v>5163731642</v>
      </c>
      <c r="AC75" s="97"/>
    </row>
    <row r="76" spans="1:29" x14ac:dyDescent="0.25">
      <c r="A76" s="8">
        <f t="shared" si="1"/>
        <v>75</v>
      </c>
      <c r="B76" s="12" t="s">
        <v>319</v>
      </c>
      <c r="C76" s="9"/>
      <c r="D76" s="8" t="s">
        <v>52</v>
      </c>
      <c r="E76" s="14" t="s">
        <v>35</v>
      </c>
      <c r="F76" s="11">
        <v>50000</v>
      </c>
      <c r="G76" s="99">
        <v>45913</v>
      </c>
      <c r="H76" s="14" t="s">
        <v>40</v>
      </c>
      <c r="I76" s="16" t="s">
        <v>251</v>
      </c>
      <c r="J76" s="17">
        <v>5163731642</v>
      </c>
      <c r="K76" s="14" t="s">
        <v>35</v>
      </c>
      <c r="L76" s="11">
        <v>50000</v>
      </c>
      <c r="M76" s="99">
        <v>45945</v>
      </c>
      <c r="N76" s="14" t="s">
        <v>40</v>
      </c>
      <c r="O76" s="16" t="s">
        <v>251</v>
      </c>
      <c r="P76" s="17">
        <v>5163731642</v>
      </c>
      <c r="Q76" s="100" t="s">
        <v>35</v>
      </c>
      <c r="R76" s="101">
        <v>50000</v>
      </c>
      <c r="S76" s="102">
        <v>45976</v>
      </c>
      <c r="T76" s="100" t="s">
        <v>40</v>
      </c>
      <c r="U76" s="107" t="s">
        <v>251</v>
      </c>
      <c r="V76" s="109">
        <v>5163731642</v>
      </c>
      <c r="W76" s="87" t="s">
        <v>35</v>
      </c>
      <c r="X76" s="119">
        <v>50000</v>
      </c>
      <c r="Y76" s="120">
        <v>46004</v>
      </c>
      <c r="Z76" s="79" t="s">
        <v>40</v>
      </c>
      <c r="AA76" s="79" t="s">
        <v>251</v>
      </c>
      <c r="AB76" s="121">
        <v>5163731642</v>
      </c>
      <c r="AC76" s="97"/>
    </row>
    <row r="77" spans="1:29" x14ac:dyDescent="0.25">
      <c r="A77" s="8">
        <f t="shared" si="1"/>
        <v>76</v>
      </c>
      <c r="B77" s="12" t="s">
        <v>320</v>
      </c>
      <c r="C77" s="9">
        <v>89888020</v>
      </c>
      <c r="D77" s="8" t="s">
        <v>52</v>
      </c>
      <c r="E77" s="14" t="s">
        <v>35</v>
      </c>
      <c r="F77" s="11">
        <v>50000</v>
      </c>
      <c r="G77" s="99">
        <v>45903</v>
      </c>
      <c r="H77" s="14" t="s">
        <v>40</v>
      </c>
      <c r="I77" s="16" t="s">
        <v>251</v>
      </c>
      <c r="J77" s="17">
        <v>5163731642</v>
      </c>
      <c r="K77" s="14" t="s">
        <v>35</v>
      </c>
      <c r="L77" s="11">
        <v>50000</v>
      </c>
      <c r="M77" s="99">
        <v>45934</v>
      </c>
      <c r="N77" s="14" t="s">
        <v>40</v>
      </c>
      <c r="O77" s="16" t="s">
        <v>251</v>
      </c>
      <c r="P77" s="13">
        <v>5027586600</v>
      </c>
      <c r="Q77" s="14" t="s">
        <v>35</v>
      </c>
      <c r="R77" s="11">
        <v>50000</v>
      </c>
      <c r="S77" s="99">
        <v>45966</v>
      </c>
      <c r="T77" s="14" t="s">
        <v>40</v>
      </c>
      <c r="U77" s="16" t="s">
        <v>45</v>
      </c>
      <c r="V77" s="17">
        <v>5209009001</v>
      </c>
      <c r="W77" s="29" t="s">
        <v>257</v>
      </c>
      <c r="X77" s="118"/>
      <c r="Y77" s="17"/>
      <c r="Z77" s="17"/>
      <c r="AA77" s="17"/>
      <c r="AB77" s="17"/>
      <c r="AC77" s="97"/>
    </row>
    <row r="78" spans="1:29" x14ac:dyDescent="0.25">
      <c r="E78" s="110" t="s">
        <v>321</v>
      </c>
      <c r="F78" s="111">
        <f>SUM(F2:F77)</f>
        <v>3000000</v>
      </c>
      <c r="K78" s="110" t="s">
        <v>321</v>
      </c>
      <c r="L78" s="111">
        <f>SUM(L2:L77)</f>
        <v>2000000</v>
      </c>
      <c r="Q78" s="110" t="s">
        <v>321</v>
      </c>
      <c r="R78" s="111">
        <f>SUM(R2:R77)</f>
        <v>1900000</v>
      </c>
      <c r="Y78"/>
    </row>
    <row r="79" spans="1:29" x14ac:dyDescent="0.25">
      <c r="E79" s="113" t="s">
        <v>322</v>
      </c>
      <c r="F79" s="114">
        <f>55*50000</f>
        <v>2750000</v>
      </c>
      <c r="K79" s="113" t="s">
        <v>322</v>
      </c>
      <c r="L79" s="114">
        <f>43*50000</f>
        <v>2150000</v>
      </c>
      <c r="Q79" s="113" t="s">
        <v>322</v>
      </c>
      <c r="R79" s="114">
        <f>40*50000</f>
        <v>2000000</v>
      </c>
      <c r="Y79"/>
    </row>
    <row r="80" spans="1:29" x14ac:dyDescent="0.25">
      <c r="E80" s="115" t="s">
        <v>323</v>
      </c>
      <c r="F80" s="111">
        <v>1050000</v>
      </c>
      <c r="K80" s="115"/>
      <c r="L80" s="111">
        <f>L79-L78</f>
        <v>150000</v>
      </c>
      <c r="Q80" s="115"/>
      <c r="R80" s="111">
        <f>R79-R78</f>
        <v>100000</v>
      </c>
      <c r="S80" s="111" t="s">
        <v>324</v>
      </c>
      <c r="Y80"/>
    </row>
    <row r="81" spans="5:17" customFormat="1" x14ac:dyDescent="0.25">
      <c r="E81" s="116"/>
      <c r="F81" s="117">
        <v>250000</v>
      </c>
      <c r="H81" s="112"/>
      <c r="J81" s="18"/>
      <c r="K81" s="115" t="s">
        <v>323</v>
      </c>
      <c r="L81" s="111">
        <v>50000</v>
      </c>
      <c r="Q81" s="115"/>
    </row>
    <row r="82" spans="5:17" customFormat="1" x14ac:dyDescent="0.25">
      <c r="E82" s="115" t="s">
        <v>325</v>
      </c>
      <c r="F82" s="111">
        <f>F80-F81</f>
        <v>800000</v>
      </c>
      <c r="H82" s="112"/>
      <c r="J82" s="18"/>
    </row>
  </sheetData>
  <dataValidations count="3">
    <dataValidation type="list" allowBlank="1" showInputMessage="1" showErrorMessage="1" sqref="I2:I4 I7:I9 I11 I13:I15 I18:I22 U57:U65 I31:I36 I38:I40 I52:I55 I28:I29 I67 I70:I71 U13:U15 O48 U17:U22 O50:O51 O23:O24 N52:N53 O13:O15 O7:O9 O2:O4 O45:O46 U29 U70:U71 O29 U50:U55 U67:U68 U26 O70:O71 O67 O11 O17:O21 U76:U77 O73:O75 U2:U11 O31:O40 O54:O55 U31:U40 I45:I46 O26:O27 O57:O63 I57:I61 AA2:AA41 AA43:AA77" xr:uid="{7FFB89CD-2ACF-4CB5-8B2B-346555758DC1}">
      <formula1>"Хаан,Голомт"</formula1>
    </dataValidation>
    <dataValidation type="list" allowBlank="1" showInputMessage="1" showErrorMessage="1" sqref="Q76:Q77 K10:L10 K2:K9 K11:K51 Q2:Q72 K54:K77 E2:E77 W2:W77" xr:uid="{7FB126B4-0B26-474D-B82A-7EECE6D64037}">
      <formula1>"Төлсөн,Төлөөгүй,Тайлбартай,Суугаагүй"</formula1>
    </dataValidation>
    <dataValidation type="list" allowBlank="1" showInputMessage="1" showErrorMessage="1" sqref="Z31 Z25 Z19" xr:uid="{5BAB98C8-A0FF-489B-9EF5-4A9594A5F87E}">
      <formula1>"Данс,Бэлэн,Данс бэлэн"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46DE-0012-4ADE-B2F6-137E14C6B4E3}">
  <dimension ref="A1:G61"/>
  <sheetViews>
    <sheetView topLeftCell="A4" workbookViewId="0">
      <selection activeCell="C7" sqref="C7"/>
    </sheetView>
  </sheetViews>
  <sheetFormatPr defaultRowHeight="15" x14ac:dyDescent="0.25"/>
  <cols>
    <col min="1" max="1" width="2.7109375" bestFit="1" customWidth="1"/>
    <col min="2" max="2" width="14.42578125" bestFit="1" customWidth="1"/>
    <col min="3" max="3" width="10.28515625" customWidth="1"/>
    <col min="4" max="4" width="14" customWidth="1"/>
    <col min="5" max="5" width="18.85546875" bestFit="1" customWidth="1"/>
    <col min="6" max="6" width="7.85546875" bestFit="1" customWidth="1"/>
    <col min="7" max="7" width="20" customWidth="1"/>
  </cols>
  <sheetData>
    <row r="1" spans="1:6" ht="25.5" x14ac:dyDescent="0.25">
      <c r="A1" s="7" t="s">
        <v>0</v>
      </c>
      <c r="B1" s="7" t="s">
        <v>1</v>
      </c>
      <c r="C1" s="7" t="s">
        <v>25</v>
      </c>
      <c r="D1" s="7" t="s">
        <v>27</v>
      </c>
      <c r="E1" s="7" t="s">
        <v>189</v>
      </c>
      <c r="F1" s="7" t="s">
        <v>34</v>
      </c>
    </row>
    <row r="2" spans="1:6" x14ac:dyDescent="0.25">
      <c r="A2" s="13">
        <v>1</v>
      </c>
      <c r="B2" s="12" t="s">
        <v>118</v>
      </c>
      <c r="C2" s="12">
        <v>88017789</v>
      </c>
      <c r="D2" s="13" t="s">
        <v>4</v>
      </c>
      <c r="E2" s="60" t="s">
        <v>233</v>
      </c>
      <c r="F2" s="65"/>
    </row>
    <row r="3" spans="1:6" x14ac:dyDescent="0.25">
      <c r="A3" s="13">
        <f t="shared" ref="A3:A61" si="0">A2+1</f>
        <v>2</v>
      </c>
      <c r="B3" s="12" t="s">
        <v>131</v>
      </c>
      <c r="C3" s="12">
        <v>99756022</v>
      </c>
      <c r="D3" s="13" t="s">
        <v>4</v>
      </c>
      <c r="E3" s="60" t="s">
        <v>221</v>
      </c>
      <c r="F3" s="65"/>
    </row>
    <row r="4" spans="1:6" x14ac:dyDescent="0.25">
      <c r="A4" s="13">
        <f t="shared" si="0"/>
        <v>3</v>
      </c>
      <c r="B4" s="12" t="s">
        <v>122</v>
      </c>
      <c r="C4" s="12">
        <v>91914670</v>
      </c>
      <c r="D4" s="13" t="s">
        <v>4</v>
      </c>
      <c r="E4" s="60" t="s">
        <v>215</v>
      </c>
      <c r="F4" s="65"/>
    </row>
    <row r="5" spans="1:6" x14ac:dyDescent="0.25">
      <c r="A5" s="13">
        <f t="shared" si="0"/>
        <v>4</v>
      </c>
      <c r="B5" s="12" t="s">
        <v>117</v>
      </c>
      <c r="C5" s="12">
        <v>86462001</v>
      </c>
      <c r="D5" s="13" t="s">
        <v>4</v>
      </c>
      <c r="E5" s="60" t="s">
        <v>229</v>
      </c>
      <c r="F5" s="65"/>
    </row>
    <row r="6" spans="1:6" x14ac:dyDescent="0.25">
      <c r="A6" s="13">
        <f t="shared" si="0"/>
        <v>5</v>
      </c>
      <c r="B6" s="35" t="s">
        <v>151</v>
      </c>
      <c r="C6" s="35">
        <v>89099466</v>
      </c>
      <c r="D6" s="13" t="s">
        <v>4</v>
      </c>
      <c r="E6" s="60" t="s">
        <v>232</v>
      </c>
      <c r="F6" s="65"/>
    </row>
    <row r="7" spans="1:6" x14ac:dyDescent="0.25">
      <c r="A7" s="13">
        <f t="shared" si="0"/>
        <v>6</v>
      </c>
      <c r="B7" s="12" t="s">
        <v>130</v>
      </c>
      <c r="C7" s="12">
        <v>99293409</v>
      </c>
      <c r="D7" s="13" t="s">
        <v>4</v>
      </c>
      <c r="E7" s="60" t="s">
        <v>192</v>
      </c>
      <c r="F7" s="65"/>
    </row>
    <row r="8" spans="1:6" x14ac:dyDescent="0.25">
      <c r="A8" s="13">
        <f t="shared" si="0"/>
        <v>7</v>
      </c>
      <c r="B8" s="72" t="s">
        <v>148</v>
      </c>
      <c r="C8" s="34">
        <v>99140822</v>
      </c>
      <c r="D8" s="13" t="s">
        <v>4</v>
      </c>
      <c r="E8" s="13"/>
      <c r="F8" s="65"/>
    </row>
    <row r="9" spans="1:6" x14ac:dyDescent="0.25">
      <c r="A9" s="13">
        <f t="shared" si="0"/>
        <v>8</v>
      </c>
      <c r="B9" s="1" t="s">
        <v>165</v>
      </c>
      <c r="C9" s="1">
        <v>96807676</v>
      </c>
      <c r="D9" s="13" t="s">
        <v>4</v>
      </c>
      <c r="E9" s="60" t="s">
        <v>193</v>
      </c>
      <c r="F9" s="65"/>
    </row>
    <row r="10" spans="1:6" x14ac:dyDescent="0.25">
      <c r="A10" s="13">
        <f t="shared" si="0"/>
        <v>9</v>
      </c>
      <c r="B10" s="12" t="s">
        <v>138</v>
      </c>
      <c r="C10" s="12">
        <v>89875400</v>
      </c>
      <c r="D10" s="13" t="s">
        <v>4</v>
      </c>
      <c r="E10" s="60" t="s">
        <v>222</v>
      </c>
      <c r="F10" s="65"/>
    </row>
    <row r="11" spans="1:6" x14ac:dyDescent="0.25">
      <c r="A11" s="13">
        <f t="shared" si="0"/>
        <v>10</v>
      </c>
      <c r="B11" s="12" t="s">
        <v>129</v>
      </c>
      <c r="C11" s="12">
        <v>99193880</v>
      </c>
      <c r="D11" s="13" t="s">
        <v>4</v>
      </c>
      <c r="E11" s="60" t="s">
        <v>212</v>
      </c>
      <c r="F11" s="65"/>
    </row>
    <row r="12" spans="1:6" x14ac:dyDescent="0.25">
      <c r="A12" s="13">
        <f t="shared" si="0"/>
        <v>11</v>
      </c>
      <c r="B12" s="12" t="s">
        <v>120</v>
      </c>
      <c r="C12" s="12">
        <v>88719105</v>
      </c>
      <c r="D12" s="13" t="s">
        <v>4</v>
      </c>
      <c r="E12" s="13"/>
      <c r="F12" s="65"/>
    </row>
    <row r="13" spans="1:6" x14ac:dyDescent="0.25">
      <c r="A13" s="13">
        <f t="shared" si="0"/>
        <v>12</v>
      </c>
      <c r="B13" s="12" t="s">
        <v>121</v>
      </c>
      <c r="C13" s="12">
        <v>89558808</v>
      </c>
      <c r="D13" s="13" t="s">
        <v>4</v>
      </c>
      <c r="E13" s="60" t="s">
        <v>201</v>
      </c>
      <c r="F13" s="65"/>
    </row>
    <row r="14" spans="1:6" x14ac:dyDescent="0.25">
      <c r="A14" s="13">
        <f t="shared" si="0"/>
        <v>13</v>
      </c>
      <c r="B14" s="12" t="s">
        <v>115</v>
      </c>
      <c r="C14" s="12">
        <v>80031688</v>
      </c>
      <c r="D14" s="13" t="s">
        <v>4</v>
      </c>
      <c r="E14" s="60" t="s">
        <v>195</v>
      </c>
      <c r="F14" s="65"/>
    </row>
    <row r="15" spans="1:6" x14ac:dyDescent="0.25">
      <c r="A15" s="13">
        <f t="shared" si="0"/>
        <v>14</v>
      </c>
      <c r="B15" s="12" t="s">
        <v>127</v>
      </c>
      <c r="C15" s="12">
        <v>99165428</v>
      </c>
      <c r="D15" s="13" t="s">
        <v>4</v>
      </c>
      <c r="E15" s="60" t="s">
        <v>226</v>
      </c>
      <c r="F15" s="65"/>
    </row>
    <row r="16" spans="1:6" x14ac:dyDescent="0.25">
      <c r="A16" s="13">
        <f t="shared" si="0"/>
        <v>15</v>
      </c>
      <c r="B16" s="12" t="s">
        <v>142</v>
      </c>
      <c r="C16" s="12">
        <v>95559758</v>
      </c>
      <c r="D16" s="13" t="s">
        <v>4</v>
      </c>
      <c r="E16" s="60" t="s">
        <v>204</v>
      </c>
      <c r="F16" s="65"/>
    </row>
    <row r="17" spans="1:6" x14ac:dyDescent="0.25">
      <c r="A17" s="13">
        <f t="shared" si="0"/>
        <v>16</v>
      </c>
      <c r="B17" s="12" t="s">
        <v>125</v>
      </c>
      <c r="C17" s="12">
        <v>99020006</v>
      </c>
      <c r="D17" s="13" t="s">
        <v>4</v>
      </c>
      <c r="E17" s="60" t="s">
        <v>196</v>
      </c>
      <c r="F17" s="65"/>
    </row>
    <row r="18" spans="1:6" x14ac:dyDescent="0.25">
      <c r="A18" s="13">
        <f t="shared" si="0"/>
        <v>17</v>
      </c>
      <c r="B18" s="12" t="s">
        <v>143</v>
      </c>
      <c r="C18" s="12">
        <v>99007201</v>
      </c>
      <c r="D18" s="13" t="s">
        <v>4</v>
      </c>
      <c r="E18" s="60" t="s">
        <v>214</v>
      </c>
      <c r="F18" s="65"/>
    </row>
    <row r="19" spans="1:6" x14ac:dyDescent="0.25">
      <c r="A19" s="13">
        <f t="shared" si="0"/>
        <v>18</v>
      </c>
      <c r="B19" s="12" t="s">
        <v>146</v>
      </c>
      <c r="C19" s="12">
        <v>99845058</v>
      </c>
      <c r="D19" s="13" t="s">
        <v>4</v>
      </c>
      <c r="E19" s="60" t="s">
        <v>205</v>
      </c>
      <c r="F19" s="65"/>
    </row>
    <row r="20" spans="1:6" x14ac:dyDescent="0.25">
      <c r="A20" s="13">
        <f t="shared" si="0"/>
        <v>19</v>
      </c>
      <c r="B20" s="12" t="s">
        <v>128</v>
      </c>
      <c r="C20" s="12">
        <v>99182520</v>
      </c>
      <c r="D20" s="13" t="s">
        <v>4</v>
      </c>
      <c r="E20" s="60" t="s">
        <v>198</v>
      </c>
      <c r="F20" s="65"/>
    </row>
    <row r="21" spans="1:6" x14ac:dyDescent="0.25">
      <c r="A21" s="13">
        <f t="shared" si="0"/>
        <v>20</v>
      </c>
      <c r="B21" s="12" t="s">
        <v>134</v>
      </c>
      <c r="C21" s="12">
        <v>86545719</v>
      </c>
      <c r="D21" s="13" t="s">
        <v>4</v>
      </c>
      <c r="E21" s="60" t="s">
        <v>197</v>
      </c>
      <c r="F21" s="65"/>
    </row>
    <row r="22" spans="1:6" x14ac:dyDescent="0.25">
      <c r="A22" s="13">
        <f t="shared" si="0"/>
        <v>21</v>
      </c>
      <c r="B22" s="12" t="s">
        <v>139</v>
      </c>
      <c r="C22" s="12">
        <v>91919977</v>
      </c>
      <c r="D22" s="13" t="s">
        <v>4</v>
      </c>
      <c r="E22" s="60" t="s">
        <v>191</v>
      </c>
      <c r="F22" s="65"/>
    </row>
    <row r="23" spans="1:6" x14ac:dyDescent="0.25">
      <c r="A23" s="13">
        <f t="shared" si="0"/>
        <v>22</v>
      </c>
      <c r="B23" s="12" t="s">
        <v>126</v>
      </c>
      <c r="C23" s="12">
        <v>99040198</v>
      </c>
      <c r="D23" s="13" t="s">
        <v>4</v>
      </c>
      <c r="E23" s="60" t="s">
        <v>207</v>
      </c>
      <c r="F23" s="65"/>
    </row>
    <row r="24" spans="1:6" x14ac:dyDescent="0.25">
      <c r="A24" s="13">
        <f t="shared" si="0"/>
        <v>23</v>
      </c>
      <c r="B24" s="12" t="s">
        <v>137</v>
      </c>
      <c r="C24" s="12">
        <v>89119452</v>
      </c>
      <c r="D24" s="13" t="s">
        <v>4</v>
      </c>
      <c r="E24" s="60" t="s">
        <v>202</v>
      </c>
      <c r="F24" s="65"/>
    </row>
    <row r="25" spans="1:6" x14ac:dyDescent="0.25">
      <c r="A25" s="13">
        <f t="shared" si="0"/>
        <v>24</v>
      </c>
      <c r="B25" s="12" t="s">
        <v>140</v>
      </c>
      <c r="C25" s="12">
        <v>94079809</v>
      </c>
      <c r="D25" s="13" t="s">
        <v>4</v>
      </c>
      <c r="E25" s="60" t="s">
        <v>216</v>
      </c>
      <c r="F25" s="65"/>
    </row>
    <row r="26" spans="1:6" x14ac:dyDescent="0.25">
      <c r="A26" s="13">
        <f t="shared" si="0"/>
        <v>25</v>
      </c>
      <c r="B26" s="12" t="s">
        <v>119</v>
      </c>
      <c r="C26" s="12">
        <v>88080268</v>
      </c>
      <c r="D26" s="13" t="s">
        <v>4</v>
      </c>
      <c r="E26" s="60" t="s">
        <v>203</v>
      </c>
      <c r="F26" s="65"/>
    </row>
    <row r="27" spans="1:6" x14ac:dyDescent="0.25">
      <c r="A27" s="13">
        <f t="shared" si="0"/>
        <v>26</v>
      </c>
      <c r="B27" s="12" t="s">
        <v>152</v>
      </c>
      <c r="C27" s="12">
        <v>99601583</v>
      </c>
      <c r="D27" s="13" t="s">
        <v>4</v>
      </c>
      <c r="E27" s="60" t="s">
        <v>228</v>
      </c>
      <c r="F27" s="65"/>
    </row>
    <row r="28" spans="1:6" x14ac:dyDescent="0.25">
      <c r="A28" s="13">
        <f t="shared" si="0"/>
        <v>27</v>
      </c>
      <c r="B28" s="12" t="s">
        <v>144</v>
      </c>
      <c r="C28" s="12">
        <v>99442127</v>
      </c>
      <c r="D28" s="13" t="s">
        <v>4</v>
      </c>
      <c r="E28" s="60" t="s">
        <v>190</v>
      </c>
      <c r="F28" s="65"/>
    </row>
    <row r="29" spans="1:6" x14ac:dyDescent="0.25">
      <c r="A29" s="13">
        <f t="shared" si="0"/>
        <v>28</v>
      </c>
      <c r="B29" s="12" t="s">
        <v>133</v>
      </c>
      <c r="C29" s="12">
        <v>80000544</v>
      </c>
      <c r="D29" s="13" t="s">
        <v>4</v>
      </c>
      <c r="E29" s="60" t="s">
        <v>200</v>
      </c>
      <c r="F29" s="65"/>
    </row>
    <row r="30" spans="1:6" x14ac:dyDescent="0.25">
      <c r="A30" s="13">
        <f t="shared" si="0"/>
        <v>29</v>
      </c>
      <c r="B30" s="12" t="s">
        <v>145</v>
      </c>
      <c r="C30" s="12">
        <v>99693685</v>
      </c>
      <c r="D30" s="13" t="s">
        <v>4</v>
      </c>
      <c r="E30" s="60" t="s">
        <v>213</v>
      </c>
      <c r="F30" s="65"/>
    </row>
    <row r="31" spans="1:6" x14ac:dyDescent="0.25">
      <c r="A31" s="13">
        <f t="shared" si="0"/>
        <v>30</v>
      </c>
      <c r="B31" s="12" t="s">
        <v>123</v>
      </c>
      <c r="C31" s="12">
        <v>94044104</v>
      </c>
      <c r="D31" s="13" t="s">
        <v>4</v>
      </c>
      <c r="E31" s="60" t="s">
        <v>208</v>
      </c>
      <c r="F31" s="65"/>
    </row>
    <row r="32" spans="1:6" x14ac:dyDescent="0.25">
      <c r="A32" s="13">
        <f t="shared" si="0"/>
        <v>31</v>
      </c>
      <c r="B32" s="12" t="s">
        <v>135</v>
      </c>
      <c r="C32" s="12">
        <v>88089842</v>
      </c>
      <c r="D32" s="13" t="s">
        <v>4</v>
      </c>
      <c r="E32" s="60" t="s">
        <v>199</v>
      </c>
      <c r="F32" s="65"/>
    </row>
    <row r="33" spans="1:6" x14ac:dyDescent="0.25">
      <c r="A33" s="13">
        <f t="shared" si="0"/>
        <v>32</v>
      </c>
      <c r="B33" s="12" t="s">
        <v>124</v>
      </c>
      <c r="C33" s="12">
        <v>94289442</v>
      </c>
      <c r="D33" s="13" t="s">
        <v>4</v>
      </c>
      <c r="E33" s="60" t="s">
        <v>194</v>
      </c>
      <c r="F33" s="65"/>
    </row>
    <row r="34" spans="1:6" x14ac:dyDescent="0.25">
      <c r="A34" s="13">
        <f t="shared" si="0"/>
        <v>33</v>
      </c>
      <c r="B34" s="35" t="s">
        <v>141</v>
      </c>
      <c r="C34" s="35">
        <v>94109575</v>
      </c>
      <c r="D34" s="13" t="s">
        <v>4</v>
      </c>
      <c r="E34" s="60" t="s">
        <v>209</v>
      </c>
      <c r="F34" s="65"/>
    </row>
    <row r="35" spans="1:6" x14ac:dyDescent="0.25">
      <c r="A35" s="13">
        <f t="shared" si="0"/>
        <v>34</v>
      </c>
      <c r="B35" s="35" t="s">
        <v>247</v>
      </c>
      <c r="C35" s="35"/>
      <c r="D35" s="13" t="s">
        <v>4</v>
      </c>
      <c r="E35" s="13"/>
      <c r="F35" s="65"/>
    </row>
    <row r="36" spans="1:6" x14ac:dyDescent="0.25">
      <c r="A36" s="13">
        <f t="shared" si="0"/>
        <v>35</v>
      </c>
      <c r="B36" s="12" t="s">
        <v>132</v>
      </c>
      <c r="C36" s="12">
        <v>99901839</v>
      </c>
      <c r="D36" s="13" t="s">
        <v>4</v>
      </c>
      <c r="E36" s="13" t="s">
        <v>210</v>
      </c>
      <c r="F36" s="65"/>
    </row>
    <row r="37" spans="1:6" x14ac:dyDescent="0.25">
      <c r="A37" s="13">
        <f t="shared" si="0"/>
        <v>36</v>
      </c>
      <c r="B37" s="12" t="s">
        <v>116</v>
      </c>
      <c r="C37" s="12">
        <v>80807217</v>
      </c>
      <c r="D37" s="13" t="s">
        <v>4</v>
      </c>
      <c r="E37" s="60" t="s">
        <v>211</v>
      </c>
      <c r="F37" s="65"/>
    </row>
    <row r="38" spans="1:6" x14ac:dyDescent="0.25">
      <c r="A38" s="13">
        <f t="shared" si="0"/>
        <v>37</v>
      </c>
      <c r="B38" s="66" t="s">
        <v>26</v>
      </c>
      <c r="C38" s="34">
        <v>99294099</v>
      </c>
      <c r="D38" s="13" t="s">
        <v>4</v>
      </c>
      <c r="E38" s="60" t="s">
        <v>206</v>
      </c>
      <c r="F38" s="60" t="s">
        <v>234</v>
      </c>
    </row>
    <row r="39" spans="1:6" x14ac:dyDescent="0.25">
      <c r="A39" s="13">
        <f t="shared" si="0"/>
        <v>38</v>
      </c>
      <c r="B39" s="61" t="s">
        <v>157</v>
      </c>
      <c r="C39" s="2">
        <v>88176666</v>
      </c>
      <c r="D39" s="13" t="s">
        <v>4</v>
      </c>
      <c r="E39" s="60" t="s">
        <v>230</v>
      </c>
      <c r="F39" s="60" t="s">
        <v>234</v>
      </c>
    </row>
    <row r="40" spans="1:6" x14ac:dyDescent="0.25">
      <c r="A40" s="13">
        <f t="shared" si="0"/>
        <v>39</v>
      </c>
      <c r="B40" s="63" t="s">
        <v>150</v>
      </c>
      <c r="C40" s="12">
        <v>96696550</v>
      </c>
      <c r="D40" s="13" t="s">
        <v>4</v>
      </c>
      <c r="E40" s="60" t="s">
        <v>224</v>
      </c>
      <c r="F40" s="60" t="s">
        <v>234</v>
      </c>
    </row>
    <row r="41" spans="1:6" x14ac:dyDescent="0.25">
      <c r="A41" s="13">
        <f t="shared" si="0"/>
        <v>40</v>
      </c>
      <c r="B41" s="64" t="s">
        <v>160</v>
      </c>
      <c r="C41" s="2">
        <v>91110704</v>
      </c>
      <c r="D41" s="13" t="s">
        <v>4</v>
      </c>
      <c r="E41" s="13"/>
      <c r="F41" s="65"/>
    </row>
    <row r="42" spans="1:6" x14ac:dyDescent="0.25">
      <c r="A42" s="13">
        <f t="shared" si="0"/>
        <v>41</v>
      </c>
      <c r="B42" s="61" t="s">
        <v>162</v>
      </c>
      <c r="C42" s="1">
        <v>99140822</v>
      </c>
      <c r="D42" s="13" t="s">
        <v>4</v>
      </c>
      <c r="E42" s="13"/>
      <c r="F42" s="65"/>
    </row>
    <row r="43" spans="1:6" x14ac:dyDescent="0.25">
      <c r="A43" s="13">
        <f t="shared" si="0"/>
        <v>42</v>
      </c>
      <c r="B43" s="63" t="s">
        <v>136</v>
      </c>
      <c r="C43" s="12">
        <v>88207009</v>
      </c>
      <c r="D43" s="13" t="s">
        <v>4</v>
      </c>
      <c r="E43" s="13"/>
      <c r="F43" s="65"/>
    </row>
    <row r="44" spans="1:6" x14ac:dyDescent="0.25">
      <c r="A44" s="13">
        <f t="shared" si="0"/>
        <v>43</v>
      </c>
      <c r="B44" s="64" t="s">
        <v>159</v>
      </c>
      <c r="C44" s="2">
        <v>88891438</v>
      </c>
      <c r="D44" s="13" t="s">
        <v>4</v>
      </c>
      <c r="E44" s="60" t="s">
        <v>220</v>
      </c>
      <c r="F44" s="60" t="s">
        <v>234</v>
      </c>
    </row>
    <row r="45" spans="1:6" x14ac:dyDescent="0.25">
      <c r="A45" s="13">
        <f t="shared" si="0"/>
        <v>44</v>
      </c>
      <c r="B45" s="64" t="s">
        <v>158</v>
      </c>
      <c r="C45" s="2">
        <v>88355855</v>
      </c>
      <c r="D45" s="13" t="s">
        <v>4</v>
      </c>
      <c r="E45" s="60" t="s">
        <v>219</v>
      </c>
      <c r="F45" s="60" t="s">
        <v>234</v>
      </c>
    </row>
    <row r="46" spans="1:6" x14ac:dyDescent="0.25">
      <c r="A46" s="13">
        <f t="shared" si="0"/>
        <v>45</v>
      </c>
      <c r="B46" s="62" t="s">
        <v>156</v>
      </c>
      <c r="C46" s="35">
        <v>94117356</v>
      </c>
      <c r="D46" s="13" t="s">
        <v>4</v>
      </c>
      <c r="E46" s="60" t="s">
        <v>217</v>
      </c>
      <c r="F46" s="60" t="s">
        <v>234</v>
      </c>
    </row>
    <row r="47" spans="1:6" x14ac:dyDescent="0.25">
      <c r="A47" s="13">
        <f t="shared" si="0"/>
        <v>46</v>
      </c>
      <c r="B47" s="62" t="s">
        <v>155</v>
      </c>
      <c r="C47" s="35">
        <v>88091991</v>
      </c>
      <c r="D47" s="13" t="s">
        <v>4</v>
      </c>
      <c r="E47" s="60" t="s">
        <v>218</v>
      </c>
      <c r="F47" s="60" t="s">
        <v>234</v>
      </c>
    </row>
    <row r="48" spans="1:6" x14ac:dyDescent="0.25">
      <c r="A48" s="13">
        <f t="shared" si="0"/>
        <v>47</v>
      </c>
      <c r="B48" s="63" t="s">
        <v>153</v>
      </c>
      <c r="C48" s="12">
        <v>96770872</v>
      </c>
      <c r="D48" s="13" t="s">
        <v>4</v>
      </c>
      <c r="E48" s="60" t="s">
        <v>223</v>
      </c>
      <c r="F48" s="60" t="s">
        <v>234</v>
      </c>
    </row>
    <row r="49" spans="1:7" x14ac:dyDescent="0.25">
      <c r="A49" s="13">
        <f t="shared" si="0"/>
        <v>48</v>
      </c>
      <c r="B49" s="64" t="s">
        <v>161</v>
      </c>
      <c r="C49" s="2">
        <v>99766524</v>
      </c>
      <c r="D49" s="13" t="s">
        <v>4</v>
      </c>
      <c r="E49" s="13"/>
      <c r="F49" s="65"/>
    </row>
    <row r="50" spans="1:7" x14ac:dyDescent="0.25">
      <c r="A50" s="13">
        <f t="shared" si="0"/>
        <v>49</v>
      </c>
      <c r="B50" s="62" t="s">
        <v>53</v>
      </c>
      <c r="C50" s="35">
        <v>96010258</v>
      </c>
      <c r="D50" s="13" t="s">
        <v>4</v>
      </c>
      <c r="E50" s="13"/>
      <c r="F50" s="65"/>
    </row>
    <row r="51" spans="1:7" x14ac:dyDescent="0.25">
      <c r="A51" s="13">
        <f t="shared" si="0"/>
        <v>50</v>
      </c>
      <c r="B51" s="61" t="s">
        <v>164</v>
      </c>
      <c r="C51" s="1">
        <v>89891656</v>
      </c>
      <c r="D51" s="13" t="s">
        <v>4</v>
      </c>
      <c r="E51" s="13"/>
      <c r="F51" s="65"/>
    </row>
    <row r="52" spans="1:7" x14ac:dyDescent="0.25">
      <c r="A52" s="13">
        <f t="shared" si="0"/>
        <v>51</v>
      </c>
      <c r="B52" s="61" t="s">
        <v>166</v>
      </c>
      <c r="C52" s="1">
        <v>86309767</v>
      </c>
      <c r="D52" s="13" t="s">
        <v>4</v>
      </c>
      <c r="E52" s="60" t="s">
        <v>166</v>
      </c>
      <c r="F52" s="60" t="s">
        <v>234</v>
      </c>
    </row>
    <row r="53" spans="1:7" x14ac:dyDescent="0.25">
      <c r="A53" s="13">
        <f t="shared" si="0"/>
        <v>52</v>
      </c>
      <c r="B53" s="63" t="s">
        <v>149</v>
      </c>
      <c r="C53" s="12">
        <v>95095033</v>
      </c>
      <c r="D53" s="13" t="s">
        <v>4</v>
      </c>
      <c r="E53" s="13"/>
      <c r="F53" s="65"/>
    </row>
    <row r="54" spans="1:7" x14ac:dyDescent="0.25">
      <c r="A54" s="13">
        <f t="shared" si="0"/>
        <v>53</v>
      </c>
      <c r="B54" s="61" t="s">
        <v>163</v>
      </c>
      <c r="C54" s="1">
        <v>88032868</v>
      </c>
      <c r="D54" s="13" t="s">
        <v>4</v>
      </c>
      <c r="E54" s="60" t="s">
        <v>225</v>
      </c>
      <c r="F54" s="60" t="s">
        <v>234</v>
      </c>
    </row>
    <row r="55" spans="1:7" x14ac:dyDescent="0.25">
      <c r="A55" s="13">
        <f t="shared" si="0"/>
        <v>54</v>
      </c>
      <c r="B55" s="61" t="s">
        <v>154</v>
      </c>
      <c r="C55" s="1">
        <v>91119608</v>
      </c>
      <c r="D55" s="13" t="s">
        <v>4</v>
      </c>
      <c r="E55" s="13"/>
      <c r="F55" s="65"/>
    </row>
    <row r="56" spans="1:7" x14ac:dyDescent="0.25">
      <c r="A56" s="13">
        <f t="shared" si="0"/>
        <v>55</v>
      </c>
      <c r="B56" s="61"/>
      <c r="C56" s="1"/>
      <c r="D56" s="13"/>
      <c r="E56" s="60" t="s">
        <v>227</v>
      </c>
      <c r="F56" s="60" t="s">
        <v>234</v>
      </c>
    </row>
    <row r="57" spans="1:7" x14ac:dyDescent="0.25">
      <c r="A57" s="13">
        <f t="shared" si="0"/>
        <v>56</v>
      </c>
      <c r="B57" s="61"/>
      <c r="C57" s="1"/>
      <c r="D57" s="13"/>
      <c r="E57" s="60" t="s">
        <v>235</v>
      </c>
      <c r="F57" s="60" t="s">
        <v>234</v>
      </c>
    </row>
    <row r="58" spans="1:7" x14ac:dyDescent="0.25">
      <c r="A58" s="13">
        <f t="shared" si="0"/>
        <v>57</v>
      </c>
      <c r="B58" s="61"/>
      <c r="C58" s="1"/>
      <c r="D58" s="13"/>
      <c r="E58" s="60" t="s">
        <v>236</v>
      </c>
      <c r="F58" s="60" t="s">
        <v>234</v>
      </c>
    </row>
    <row r="59" spans="1:7" x14ac:dyDescent="0.25">
      <c r="A59" s="13">
        <f t="shared" si="0"/>
        <v>58</v>
      </c>
      <c r="B59" s="61"/>
      <c r="C59" s="1"/>
      <c r="D59" s="13"/>
      <c r="E59" s="60" t="s">
        <v>237</v>
      </c>
      <c r="F59" s="60" t="s">
        <v>234</v>
      </c>
    </row>
    <row r="60" spans="1:7" x14ac:dyDescent="0.25">
      <c r="A60" s="13">
        <f t="shared" si="0"/>
        <v>59</v>
      </c>
      <c r="B60" s="61"/>
      <c r="C60" s="1"/>
      <c r="D60" s="13"/>
      <c r="E60" s="60" t="s">
        <v>238</v>
      </c>
      <c r="F60" s="60" t="s">
        <v>234</v>
      </c>
    </row>
    <row r="61" spans="1:7" x14ac:dyDescent="0.25">
      <c r="A61" s="13">
        <f t="shared" si="0"/>
        <v>60</v>
      </c>
      <c r="B61" s="60" t="s">
        <v>147</v>
      </c>
      <c r="C61" s="12">
        <v>80060588</v>
      </c>
      <c r="D61" s="13" t="s">
        <v>4</v>
      </c>
      <c r="E61" s="60" t="s">
        <v>231</v>
      </c>
      <c r="F61" s="60" t="s">
        <v>234</v>
      </c>
      <c r="G61" s="71" t="s">
        <v>246</v>
      </c>
    </row>
  </sheetData>
  <autoFilter ref="A1:E1" xr:uid="{A53A46DE-0012-4ADE-B2F6-137E14C6B4E3}">
    <sortState xmlns:xlrd2="http://schemas.microsoft.com/office/spreadsheetml/2017/richdata2" ref="A2:E61">
      <sortCondition sortBy="cellColor" ref="B1" dxfId="0"/>
    </sortState>
  </autoFilter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8D36-11DB-4950-8A22-DB817BB17147}">
  <sheetPr>
    <tabColor theme="0"/>
  </sheetPr>
  <dimension ref="A1:Y28"/>
  <sheetViews>
    <sheetView workbookViewId="0">
      <selection activeCell="E24" sqref="E24"/>
    </sheetView>
  </sheetViews>
  <sheetFormatPr defaultRowHeight="15" x14ac:dyDescent="0.25"/>
  <cols>
    <col min="1" max="1" width="4.7109375" style="5" customWidth="1"/>
    <col min="2" max="2" width="14.7109375" customWidth="1"/>
    <col min="3" max="3" width="9.85546875" customWidth="1"/>
    <col min="4" max="4" width="11.28515625" style="58" customWidth="1"/>
    <col min="5" max="5" width="10.140625" customWidth="1"/>
    <col min="6" max="6" width="10.42578125" customWidth="1"/>
    <col min="7" max="7" width="10.140625" customWidth="1"/>
    <col min="8" max="8" width="10.5703125" customWidth="1"/>
    <col min="9" max="9" width="8" customWidth="1"/>
    <col min="10" max="10" width="11" customWidth="1"/>
    <col min="11" max="11" width="11.42578125" customWidth="1"/>
    <col min="12" max="12" width="10.7109375" customWidth="1"/>
    <col min="13" max="13" width="9.140625" customWidth="1"/>
    <col min="14" max="14" width="10.7109375" customWidth="1"/>
    <col min="15" max="15" width="7.5703125" customWidth="1"/>
    <col min="16" max="16" width="13.140625" customWidth="1"/>
    <col min="17" max="18" width="10.5703125" customWidth="1"/>
    <col min="19" max="19" width="11.28515625" customWidth="1"/>
    <col min="20" max="20" width="11.42578125" customWidth="1"/>
    <col min="21" max="21" width="11.85546875" customWidth="1"/>
    <col min="22" max="22" width="11.5703125" customWidth="1"/>
    <col min="23" max="23" width="25.42578125" customWidth="1"/>
  </cols>
  <sheetData>
    <row r="1" spans="1:25" ht="25.5" x14ac:dyDescent="0.25">
      <c r="A1" s="20" t="s">
        <v>33</v>
      </c>
      <c r="B1" s="7" t="s">
        <v>1</v>
      </c>
      <c r="C1" s="7" t="s">
        <v>2</v>
      </c>
      <c r="D1" s="7" t="s">
        <v>32</v>
      </c>
      <c r="E1" s="7" t="s">
        <v>250</v>
      </c>
      <c r="F1" s="19" t="s">
        <v>47</v>
      </c>
      <c r="G1" s="19" t="s">
        <v>46</v>
      </c>
      <c r="H1" s="19" t="s">
        <v>39</v>
      </c>
      <c r="I1" s="19" t="s">
        <v>44</v>
      </c>
      <c r="J1" s="19" t="s">
        <v>43</v>
      </c>
      <c r="K1" s="7" t="s">
        <v>112</v>
      </c>
      <c r="L1" s="19" t="s">
        <v>47</v>
      </c>
      <c r="M1" s="19" t="s">
        <v>46</v>
      </c>
      <c r="N1" s="7" t="s">
        <v>39</v>
      </c>
      <c r="O1" s="19" t="s">
        <v>44</v>
      </c>
      <c r="P1" s="19" t="s">
        <v>43</v>
      </c>
      <c r="Q1" s="7" t="s">
        <v>114</v>
      </c>
      <c r="R1" s="19" t="s">
        <v>47</v>
      </c>
      <c r="S1" s="19" t="s">
        <v>46</v>
      </c>
      <c r="T1" s="19" t="s">
        <v>39</v>
      </c>
      <c r="U1" s="19" t="s">
        <v>44</v>
      </c>
      <c r="V1" s="19" t="s">
        <v>43</v>
      </c>
      <c r="W1" s="7" t="s">
        <v>34</v>
      </c>
    </row>
    <row r="2" spans="1:25" x14ac:dyDescent="0.25">
      <c r="A2" s="21">
        <v>1</v>
      </c>
      <c r="B2" s="22" t="s">
        <v>12</v>
      </c>
      <c r="C2" s="23">
        <v>80119656</v>
      </c>
      <c r="D2" s="26" t="s">
        <v>52</v>
      </c>
      <c r="E2" s="17"/>
      <c r="F2" s="40"/>
      <c r="G2" s="17"/>
      <c r="H2" s="50"/>
      <c r="I2" s="16"/>
      <c r="J2" s="17"/>
      <c r="K2" s="17"/>
      <c r="L2" s="40"/>
      <c r="M2" s="17"/>
      <c r="N2" s="50"/>
      <c r="O2" s="16"/>
      <c r="P2" s="13"/>
      <c r="Q2" s="17"/>
      <c r="R2" s="40"/>
      <c r="S2" s="17"/>
      <c r="T2" s="50"/>
      <c r="U2" s="16"/>
      <c r="V2" s="16"/>
      <c r="W2" s="23"/>
    </row>
    <row r="3" spans="1:25" x14ac:dyDescent="0.25">
      <c r="A3" s="21">
        <f>A2+1</f>
        <v>2</v>
      </c>
      <c r="B3" s="22" t="s">
        <v>6</v>
      </c>
      <c r="C3" s="23">
        <v>85286700</v>
      </c>
      <c r="D3" s="26" t="s">
        <v>52</v>
      </c>
      <c r="E3" s="17"/>
      <c r="F3" s="11"/>
      <c r="G3" s="13"/>
      <c r="H3" s="51"/>
      <c r="I3" s="42"/>
      <c r="J3" s="14"/>
      <c r="K3" s="17"/>
      <c r="L3" s="40"/>
      <c r="M3" s="17"/>
      <c r="N3" s="50"/>
      <c r="O3" s="16"/>
      <c r="P3" s="16"/>
      <c r="Q3" s="17"/>
      <c r="R3" s="40"/>
      <c r="S3" s="17"/>
      <c r="T3" s="50"/>
      <c r="U3" s="16"/>
      <c r="V3" s="16"/>
      <c r="W3" s="23"/>
    </row>
    <row r="4" spans="1:25" x14ac:dyDescent="0.25">
      <c r="A4" s="24">
        <f>A3+1</f>
        <v>3</v>
      </c>
      <c r="B4" s="25" t="s">
        <v>15</v>
      </c>
      <c r="C4" s="26">
        <v>98111391</v>
      </c>
      <c r="D4" s="26" t="s">
        <v>52</v>
      </c>
      <c r="E4" s="30"/>
      <c r="F4" s="29"/>
      <c r="G4" s="17"/>
      <c r="H4" s="52"/>
      <c r="I4" s="16"/>
      <c r="J4" s="17"/>
      <c r="K4" s="30"/>
      <c r="L4" s="29"/>
      <c r="M4" s="17"/>
      <c r="N4" s="52"/>
      <c r="O4" s="16"/>
      <c r="P4" s="17"/>
      <c r="Q4" s="17"/>
      <c r="R4" s="17"/>
      <c r="S4" s="17"/>
      <c r="T4" s="52"/>
      <c r="U4" s="17"/>
      <c r="V4" s="17"/>
      <c r="W4" s="23"/>
    </row>
    <row r="5" spans="1:25" x14ac:dyDescent="0.25">
      <c r="A5" s="24">
        <f t="shared" ref="A5:A28" si="0">A4+1</f>
        <v>4</v>
      </c>
      <c r="B5" s="22" t="s">
        <v>13</v>
      </c>
      <c r="C5" s="23">
        <v>91141977</v>
      </c>
      <c r="D5" s="26" t="s">
        <v>52</v>
      </c>
      <c r="E5" s="17"/>
      <c r="F5" s="40"/>
      <c r="G5" s="17"/>
      <c r="H5" s="50"/>
      <c r="I5" s="16"/>
      <c r="J5" s="17"/>
      <c r="K5" s="17"/>
      <c r="L5" s="40"/>
      <c r="M5" s="17"/>
      <c r="N5" s="50"/>
      <c r="O5" s="16"/>
      <c r="P5" s="13"/>
      <c r="Q5" s="17"/>
      <c r="R5" s="40"/>
      <c r="S5" s="17"/>
      <c r="T5" s="50"/>
      <c r="U5" s="16"/>
      <c r="V5" s="16"/>
      <c r="W5" s="23"/>
    </row>
    <row r="6" spans="1:25" x14ac:dyDescent="0.25">
      <c r="A6" s="24">
        <f t="shared" si="0"/>
        <v>5</v>
      </c>
      <c r="B6" s="27" t="s">
        <v>28</v>
      </c>
      <c r="C6" s="26">
        <v>99085525</v>
      </c>
      <c r="D6" s="26" t="s">
        <v>52</v>
      </c>
      <c r="E6" s="14"/>
      <c r="F6" s="43"/>
      <c r="G6" s="14"/>
      <c r="H6" s="51"/>
      <c r="I6" s="42"/>
      <c r="J6" s="14"/>
      <c r="K6" s="30"/>
      <c r="L6" s="44"/>
      <c r="M6" s="30"/>
      <c r="N6" s="53"/>
      <c r="O6" s="42"/>
      <c r="P6" s="14"/>
      <c r="Q6" s="30"/>
      <c r="R6" s="44"/>
      <c r="S6" s="30"/>
      <c r="T6" s="53"/>
      <c r="U6" s="42"/>
      <c r="V6" s="42"/>
      <c r="W6" s="28"/>
    </row>
    <row r="7" spans="1:25" x14ac:dyDescent="0.25">
      <c r="A7" s="24">
        <f t="shared" si="0"/>
        <v>6</v>
      </c>
      <c r="B7" s="22" t="s">
        <v>22</v>
      </c>
      <c r="C7" s="23">
        <v>89102748</v>
      </c>
      <c r="D7" s="26" t="s">
        <v>52</v>
      </c>
      <c r="E7" s="13"/>
      <c r="F7" s="11"/>
      <c r="G7" s="13"/>
      <c r="H7" s="51"/>
      <c r="I7" s="42"/>
      <c r="J7" s="14"/>
      <c r="K7" s="17"/>
      <c r="L7" s="40"/>
      <c r="M7" s="17"/>
      <c r="N7" s="50"/>
      <c r="O7" s="16"/>
      <c r="P7" s="16"/>
      <c r="Q7" s="17"/>
      <c r="R7" s="40"/>
      <c r="S7" s="17"/>
      <c r="T7" s="50"/>
      <c r="U7" s="16"/>
      <c r="V7" s="16"/>
      <c r="W7" s="23"/>
    </row>
    <row r="8" spans="1:25" x14ac:dyDescent="0.25">
      <c r="A8" s="24">
        <f t="shared" si="0"/>
        <v>7</v>
      </c>
      <c r="B8" s="22" t="s">
        <v>8</v>
      </c>
      <c r="C8" s="23">
        <v>99152589</v>
      </c>
      <c r="D8" s="26" t="s">
        <v>52</v>
      </c>
      <c r="E8" s="17"/>
      <c r="F8" s="40"/>
      <c r="G8" s="17"/>
      <c r="H8" s="50"/>
      <c r="I8" s="16"/>
      <c r="J8" s="13"/>
      <c r="K8" s="17"/>
      <c r="L8" s="40"/>
      <c r="M8" s="17"/>
      <c r="N8" s="50"/>
      <c r="O8" s="16"/>
      <c r="P8" s="17"/>
      <c r="Q8" s="17"/>
      <c r="R8" s="40"/>
      <c r="S8" s="17"/>
      <c r="T8" s="50"/>
      <c r="U8" s="16"/>
      <c r="V8" s="16"/>
      <c r="W8" s="23"/>
    </row>
    <row r="9" spans="1:25" x14ac:dyDescent="0.25">
      <c r="A9" s="24">
        <f t="shared" si="0"/>
        <v>8</v>
      </c>
      <c r="B9" s="22" t="s">
        <v>16</v>
      </c>
      <c r="C9" s="23">
        <v>99001785</v>
      </c>
      <c r="D9" s="26" t="s">
        <v>52</v>
      </c>
      <c r="E9" s="17"/>
      <c r="F9" s="40"/>
      <c r="G9" s="17"/>
      <c r="H9" s="50"/>
      <c r="I9" s="16"/>
      <c r="J9" s="13"/>
      <c r="K9" s="17"/>
      <c r="L9" s="40"/>
      <c r="M9" s="17"/>
      <c r="N9" s="50"/>
      <c r="O9" s="16"/>
      <c r="P9" s="13"/>
      <c r="Q9" s="17"/>
      <c r="R9" s="40"/>
      <c r="S9" s="17"/>
      <c r="T9" s="50"/>
      <c r="U9" s="16"/>
      <c r="V9" s="16"/>
      <c r="W9" s="23"/>
    </row>
    <row r="10" spans="1:25" x14ac:dyDescent="0.25">
      <c r="A10" s="24">
        <f t="shared" si="0"/>
        <v>9</v>
      </c>
      <c r="B10" s="22" t="s">
        <v>24</v>
      </c>
      <c r="C10" s="23">
        <v>98111391</v>
      </c>
      <c r="D10" s="26" t="s">
        <v>52</v>
      </c>
      <c r="E10" s="17"/>
      <c r="F10" s="40"/>
      <c r="G10" s="17"/>
      <c r="H10" s="50"/>
      <c r="I10" s="16"/>
      <c r="J10" s="13"/>
      <c r="K10" s="17"/>
      <c r="L10" s="40"/>
      <c r="M10" s="17"/>
      <c r="N10" s="50"/>
      <c r="O10" s="16"/>
      <c r="P10" s="17"/>
      <c r="Q10" s="17"/>
      <c r="R10" s="40"/>
      <c r="S10" s="17"/>
      <c r="T10" s="50"/>
      <c r="U10" s="16"/>
      <c r="V10" s="16"/>
      <c r="W10" s="23"/>
      <c r="Y10" s="38"/>
    </row>
    <row r="11" spans="1:25" x14ac:dyDescent="0.25">
      <c r="A11" s="24">
        <f t="shared" si="0"/>
        <v>10</v>
      </c>
      <c r="B11" s="22" t="s">
        <v>5</v>
      </c>
      <c r="C11" s="23">
        <v>85850470</v>
      </c>
      <c r="D11" s="26" t="s">
        <v>52</v>
      </c>
      <c r="E11" s="17"/>
      <c r="F11" s="40"/>
      <c r="G11" s="17"/>
      <c r="H11" s="50"/>
      <c r="I11" s="16"/>
      <c r="J11" s="17"/>
      <c r="K11" s="17"/>
      <c r="L11" s="40"/>
      <c r="M11" s="17"/>
      <c r="N11" s="50"/>
      <c r="O11" s="16"/>
      <c r="P11" s="16"/>
      <c r="Q11" s="17"/>
      <c r="R11" s="40"/>
      <c r="S11" s="17"/>
      <c r="T11" s="50"/>
      <c r="U11" s="16"/>
      <c r="V11" s="16"/>
      <c r="W11" s="23"/>
    </row>
    <row r="12" spans="1:25" x14ac:dyDescent="0.25">
      <c r="A12" s="24">
        <f t="shared" si="0"/>
        <v>11</v>
      </c>
      <c r="B12" s="22" t="s">
        <v>10</v>
      </c>
      <c r="C12" s="23">
        <v>88104755</v>
      </c>
      <c r="D12" s="26" t="s">
        <v>52</v>
      </c>
      <c r="E12" s="17"/>
      <c r="F12" s="40"/>
      <c r="G12" s="17"/>
      <c r="H12" s="50"/>
      <c r="I12" s="16"/>
      <c r="J12" s="13"/>
      <c r="K12" s="17"/>
      <c r="L12" s="40"/>
      <c r="M12" s="17"/>
      <c r="N12" s="50"/>
      <c r="O12" s="16"/>
      <c r="P12" s="13"/>
      <c r="Q12" s="17"/>
      <c r="R12" s="40"/>
      <c r="S12" s="17"/>
      <c r="T12" s="50"/>
      <c r="U12" s="16"/>
      <c r="V12" s="16"/>
      <c r="W12" s="23"/>
    </row>
    <row r="13" spans="1:25" x14ac:dyDescent="0.25">
      <c r="A13" s="24">
        <f t="shared" si="0"/>
        <v>12</v>
      </c>
      <c r="B13" s="22" t="s">
        <v>21</v>
      </c>
      <c r="C13" s="23">
        <v>88104755</v>
      </c>
      <c r="D13" s="26" t="s">
        <v>52</v>
      </c>
      <c r="E13" s="17"/>
      <c r="F13" s="40"/>
      <c r="G13" s="17"/>
      <c r="H13" s="50"/>
      <c r="I13" s="16"/>
      <c r="J13" s="13"/>
      <c r="K13" s="17"/>
      <c r="L13" s="40"/>
      <c r="M13" s="17"/>
      <c r="N13" s="50"/>
      <c r="O13" s="16"/>
      <c r="P13" s="13"/>
      <c r="Q13" s="17"/>
      <c r="R13" s="40"/>
      <c r="S13" s="17"/>
      <c r="T13" s="51"/>
      <c r="U13" s="16"/>
      <c r="V13" s="16"/>
      <c r="W13" s="23"/>
    </row>
    <row r="14" spans="1:25" x14ac:dyDescent="0.25">
      <c r="A14" s="24">
        <f t="shared" si="0"/>
        <v>13</v>
      </c>
      <c r="B14" s="22" t="s">
        <v>31</v>
      </c>
      <c r="C14" s="23">
        <v>99545040</v>
      </c>
      <c r="D14" s="26" t="s">
        <v>52</v>
      </c>
      <c r="E14" s="17"/>
      <c r="F14" s="40"/>
      <c r="G14" s="17"/>
      <c r="H14" s="50"/>
      <c r="I14" s="16"/>
      <c r="J14" s="13"/>
      <c r="K14" s="17"/>
      <c r="L14" s="40"/>
      <c r="M14" s="17"/>
      <c r="N14" s="50"/>
      <c r="O14" s="16"/>
      <c r="P14" s="17"/>
      <c r="Q14" s="17"/>
      <c r="R14" s="40"/>
      <c r="S14" s="17"/>
      <c r="T14" s="50"/>
      <c r="U14" s="16"/>
      <c r="V14" s="16"/>
      <c r="W14" s="23"/>
    </row>
    <row r="15" spans="1:25" x14ac:dyDescent="0.25">
      <c r="A15" s="24">
        <f t="shared" si="0"/>
        <v>14</v>
      </c>
      <c r="B15" s="27" t="s">
        <v>38</v>
      </c>
      <c r="C15" s="26">
        <v>88390949</v>
      </c>
      <c r="D15" s="26" t="s">
        <v>52</v>
      </c>
      <c r="E15" s="14"/>
      <c r="F15" s="43"/>
      <c r="G15" s="14"/>
      <c r="H15" s="51"/>
      <c r="I15" s="42"/>
      <c r="J15" s="14"/>
      <c r="K15" s="30"/>
      <c r="L15" s="30"/>
      <c r="M15" s="30"/>
      <c r="N15" s="53"/>
      <c r="O15" s="42"/>
      <c r="P15" s="14"/>
      <c r="Q15" s="30"/>
      <c r="R15" s="40"/>
      <c r="S15" s="17"/>
      <c r="T15" s="53"/>
      <c r="U15" s="42"/>
      <c r="V15" s="42"/>
      <c r="W15" s="28"/>
    </row>
    <row r="16" spans="1:25" x14ac:dyDescent="0.25">
      <c r="A16" s="24">
        <f t="shared" si="0"/>
        <v>15</v>
      </c>
      <c r="B16" s="25" t="s">
        <v>20</v>
      </c>
      <c r="C16" s="26">
        <v>88066908</v>
      </c>
      <c r="D16" s="26" t="s">
        <v>52</v>
      </c>
      <c r="E16" s="17"/>
      <c r="F16" s="40"/>
      <c r="G16" s="17"/>
      <c r="H16" s="50"/>
      <c r="I16" s="16"/>
      <c r="J16" s="13"/>
      <c r="K16" s="30"/>
      <c r="L16" s="44"/>
      <c r="M16" s="30"/>
      <c r="N16" s="53"/>
      <c r="O16" s="42"/>
      <c r="P16" s="42"/>
      <c r="Q16" s="30"/>
      <c r="R16" s="44"/>
      <c r="S16" s="30"/>
      <c r="T16" s="53"/>
      <c r="U16" s="42"/>
      <c r="V16" s="42"/>
      <c r="W16" s="28"/>
    </row>
    <row r="17" spans="1:23" x14ac:dyDescent="0.25">
      <c r="A17" s="24">
        <f t="shared" si="0"/>
        <v>16</v>
      </c>
      <c r="B17" s="29" t="s">
        <v>29</v>
      </c>
      <c r="C17" s="23">
        <v>99904448</v>
      </c>
      <c r="D17" s="26" t="s">
        <v>52</v>
      </c>
      <c r="E17" s="17"/>
      <c r="F17" s="40"/>
      <c r="G17" s="17"/>
      <c r="H17" s="50"/>
      <c r="I17" s="16"/>
      <c r="J17" s="13"/>
      <c r="K17" s="17"/>
      <c r="L17" s="40"/>
      <c r="M17" s="17"/>
      <c r="N17" s="50"/>
      <c r="O17" s="16"/>
      <c r="P17" s="13"/>
      <c r="Q17" s="37"/>
      <c r="R17" s="46"/>
      <c r="S17" s="37"/>
      <c r="T17" s="54"/>
      <c r="U17" s="47"/>
      <c r="V17" s="47"/>
      <c r="W17" s="23"/>
    </row>
    <row r="18" spans="1:23" x14ac:dyDescent="0.25">
      <c r="A18" s="24">
        <f t="shared" si="0"/>
        <v>17</v>
      </c>
      <c r="B18" s="22" t="s">
        <v>9</v>
      </c>
      <c r="C18" s="23">
        <v>89565665</v>
      </c>
      <c r="D18" s="26" t="s">
        <v>52</v>
      </c>
      <c r="E18" s="17"/>
      <c r="F18" s="40"/>
      <c r="G18" s="17"/>
      <c r="H18" s="50"/>
      <c r="I18" s="16"/>
      <c r="J18" s="13"/>
      <c r="K18" s="17"/>
      <c r="L18" s="40"/>
      <c r="M18" s="17"/>
      <c r="N18" s="50"/>
      <c r="O18" s="16"/>
      <c r="P18" s="13"/>
      <c r="Q18" s="17"/>
      <c r="R18" s="40"/>
      <c r="S18" s="17"/>
      <c r="T18" s="50"/>
      <c r="U18" s="16"/>
      <c r="V18" s="16"/>
      <c r="W18" s="23"/>
    </row>
    <row r="19" spans="1:23" x14ac:dyDescent="0.25">
      <c r="A19" s="24">
        <f t="shared" si="0"/>
        <v>18</v>
      </c>
      <c r="B19" s="29" t="s">
        <v>30</v>
      </c>
      <c r="C19" s="23">
        <v>80035055</v>
      </c>
      <c r="D19" s="26" t="s">
        <v>52</v>
      </c>
      <c r="E19" s="17"/>
      <c r="F19" s="40"/>
      <c r="G19" s="17"/>
      <c r="H19" s="50"/>
      <c r="I19" s="16"/>
      <c r="J19" s="13"/>
      <c r="K19" s="17"/>
      <c r="L19" s="40"/>
      <c r="M19" s="17"/>
      <c r="N19" s="50"/>
      <c r="O19" s="16"/>
      <c r="P19" s="16"/>
      <c r="Q19" s="17"/>
      <c r="R19" s="40"/>
      <c r="S19" s="17"/>
      <c r="T19" s="50"/>
      <c r="U19" s="16"/>
      <c r="V19" s="16"/>
      <c r="W19" s="23"/>
    </row>
    <row r="20" spans="1:23" x14ac:dyDescent="0.25">
      <c r="A20" s="24">
        <f t="shared" si="0"/>
        <v>19</v>
      </c>
      <c r="B20" s="22" t="s">
        <v>3</v>
      </c>
      <c r="C20" s="23">
        <v>99028960</v>
      </c>
      <c r="D20" s="26" t="s">
        <v>52</v>
      </c>
      <c r="E20" s="17"/>
      <c r="F20" s="40"/>
      <c r="G20" s="17"/>
      <c r="H20" s="50"/>
      <c r="I20" s="16"/>
      <c r="J20" s="17"/>
      <c r="K20" s="17"/>
      <c r="L20" s="40"/>
      <c r="M20" s="17"/>
      <c r="N20" s="50"/>
      <c r="O20" s="16"/>
      <c r="P20" s="16"/>
      <c r="Q20" s="17"/>
      <c r="R20" s="40"/>
      <c r="S20" s="17"/>
      <c r="T20" s="50"/>
      <c r="U20" s="16"/>
      <c r="V20" s="16"/>
      <c r="W20" s="23"/>
    </row>
    <row r="21" spans="1:23" x14ac:dyDescent="0.25">
      <c r="A21" s="24">
        <f t="shared" si="0"/>
        <v>20</v>
      </c>
      <c r="B21" s="22" t="s">
        <v>23</v>
      </c>
      <c r="C21" s="23">
        <v>99099666</v>
      </c>
      <c r="D21" s="26" t="s">
        <v>52</v>
      </c>
      <c r="E21" s="17"/>
      <c r="F21" s="40"/>
      <c r="G21" s="17"/>
      <c r="H21" s="50"/>
      <c r="I21" s="16"/>
      <c r="J21" s="17"/>
      <c r="K21" s="17"/>
      <c r="L21" s="40"/>
      <c r="M21" s="17"/>
      <c r="N21" s="50"/>
      <c r="O21" s="16"/>
      <c r="P21" s="17"/>
      <c r="Q21" s="17"/>
      <c r="R21" s="40"/>
      <c r="S21" s="17"/>
      <c r="T21" s="50"/>
      <c r="U21" s="16"/>
      <c r="V21" s="16"/>
      <c r="W21" s="23"/>
    </row>
    <row r="22" spans="1:23" x14ac:dyDescent="0.25">
      <c r="A22" s="24">
        <f t="shared" si="0"/>
        <v>21</v>
      </c>
      <c r="B22" s="27" t="s">
        <v>37</v>
      </c>
      <c r="C22" s="30"/>
      <c r="D22" s="26" t="s">
        <v>52</v>
      </c>
      <c r="E22" s="26"/>
      <c r="F22" s="22"/>
      <c r="G22" s="23"/>
      <c r="H22" s="23"/>
      <c r="I22" s="21"/>
      <c r="J22" s="23"/>
      <c r="K22" s="26"/>
      <c r="L22" s="22"/>
      <c r="M22" s="23"/>
      <c r="N22" s="23"/>
      <c r="O22" s="21"/>
      <c r="P22" s="23"/>
      <c r="Q22" s="32"/>
      <c r="R22" s="48"/>
      <c r="S22" s="36"/>
      <c r="T22" s="55"/>
      <c r="U22" s="49"/>
      <c r="V22" s="36"/>
      <c r="W22" s="31"/>
    </row>
    <row r="23" spans="1:23" x14ac:dyDescent="0.25">
      <c r="A23" s="24">
        <f t="shared" si="0"/>
        <v>22</v>
      </c>
      <c r="B23" s="25" t="s">
        <v>11</v>
      </c>
      <c r="C23" s="26">
        <v>94063344</v>
      </c>
      <c r="D23" s="26" t="s">
        <v>52</v>
      </c>
      <c r="E23" s="30"/>
      <c r="F23" s="44"/>
      <c r="G23" s="30"/>
      <c r="H23" s="45"/>
      <c r="I23" s="42"/>
      <c r="J23" s="14"/>
      <c r="K23" s="33"/>
      <c r="L23" s="22"/>
      <c r="M23" s="23"/>
      <c r="N23" s="23"/>
      <c r="O23" s="21"/>
      <c r="P23" s="23"/>
      <c r="Q23" s="33"/>
      <c r="R23" s="22"/>
      <c r="S23" s="33"/>
      <c r="T23" s="56"/>
      <c r="U23" s="21"/>
      <c r="V23" s="21"/>
      <c r="W23" s="39"/>
    </row>
    <row r="24" spans="1:23" x14ac:dyDescent="0.25">
      <c r="A24" s="24">
        <f t="shared" si="0"/>
        <v>23</v>
      </c>
      <c r="B24" s="22" t="s">
        <v>19</v>
      </c>
      <c r="C24" s="23">
        <v>99741056</v>
      </c>
      <c r="D24" s="26" t="s">
        <v>52</v>
      </c>
      <c r="E24" s="17"/>
      <c r="F24" s="40"/>
      <c r="G24" s="17"/>
      <c r="H24" s="41"/>
      <c r="I24" s="16"/>
      <c r="J24" s="13"/>
      <c r="K24" s="17"/>
      <c r="L24" s="40"/>
      <c r="M24" s="17"/>
      <c r="N24" s="41"/>
      <c r="O24" s="16"/>
      <c r="P24" s="16"/>
      <c r="Q24" s="17"/>
      <c r="R24" s="29"/>
      <c r="S24" s="17"/>
      <c r="T24" s="52"/>
      <c r="U24" s="16"/>
      <c r="V24" s="16"/>
      <c r="W24" s="23"/>
    </row>
    <row r="25" spans="1:23" s="3" customFormat="1" x14ac:dyDescent="0.25">
      <c r="A25" s="24">
        <f t="shared" si="0"/>
        <v>24</v>
      </c>
      <c r="B25" s="22" t="s">
        <v>18</v>
      </c>
      <c r="C25" s="23">
        <v>96698894</v>
      </c>
      <c r="D25" s="26" t="s">
        <v>52</v>
      </c>
      <c r="E25" s="17"/>
      <c r="F25" s="40"/>
      <c r="G25" s="17"/>
      <c r="H25" s="41"/>
      <c r="I25" s="16"/>
      <c r="J25" s="13"/>
      <c r="K25" s="17"/>
      <c r="L25" s="40"/>
      <c r="M25" s="17"/>
      <c r="N25" s="41"/>
      <c r="O25" s="16"/>
      <c r="P25" s="13"/>
      <c r="Q25" s="17"/>
      <c r="R25" s="40"/>
      <c r="S25" s="17"/>
      <c r="T25" s="50"/>
      <c r="U25" s="16"/>
      <c r="V25" s="16"/>
      <c r="W25" s="23"/>
    </row>
    <row r="26" spans="1:23" s="3" customFormat="1" x14ac:dyDescent="0.25">
      <c r="A26" s="24">
        <f t="shared" si="0"/>
        <v>25</v>
      </c>
      <c r="B26" s="22" t="s">
        <v>7</v>
      </c>
      <c r="C26" s="23">
        <v>99894478</v>
      </c>
      <c r="D26" s="26" t="s">
        <v>52</v>
      </c>
      <c r="E26" s="17"/>
      <c r="F26" s="40"/>
      <c r="G26" s="17"/>
      <c r="H26" s="41"/>
      <c r="I26" s="16"/>
      <c r="J26" s="17"/>
      <c r="K26" s="17"/>
      <c r="L26" s="40"/>
      <c r="M26" s="17"/>
      <c r="N26" s="41"/>
      <c r="O26" s="16"/>
      <c r="P26" s="16"/>
      <c r="Q26" s="17"/>
      <c r="R26" s="40"/>
      <c r="S26" s="17"/>
      <c r="T26" s="50"/>
      <c r="U26" s="16"/>
      <c r="V26" s="16"/>
      <c r="W26" s="23"/>
    </row>
    <row r="27" spans="1:23" s="3" customFormat="1" x14ac:dyDescent="0.25">
      <c r="A27" s="24">
        <f t="shared" si="0"/>
        <v>26</v>
      </c>
      <c r="B27" s="22" t="s">
        <v>17</v>
      </c>
      <c r="C27" s="23">
        <v>91270479</v>
      </c>
      <c r="D27" s="26" t="s">
        <v>52</v>
      </c>
      <c r="E27" s="17"/>
      <c r="F27" s="40"/>
      <c r="G27" s="17"/>
      <c r="H27" s="41"/>
      <c r="I27" s="16"/>
      <c r="J27" s="17"/>
      <c r="K27" s="17"/>
      <c r="L27" s="40"/>
      <c r="M27" s="17"/>
      <c r="N27" s="41"/>
      <c r="O27" s="16"/>
      <c r="P27" s="17"/>
      <c r="Q27" s="17"/>
      <c r="R27" s="40"/>
      <c r="S27" s="17"/>
      <c r="T27" s="50"/>
      <c r="U27" s="16"/>
      <c r="V27" s="16"/>
      <c r="W27" s="23"/>
    </row>
    <row r="28" spans="1:23" x14ac:dyDescent="0.25">
      <c r="A28" s="24">
        <f t="shared" si="0"/>
        <v>27</v>
      </c>
      <c r="B28" s="22" t="s">
        <v>14</v>
      </c>
      <c r="C28" s="23">
        <v>95951468</v>
      </c>
      <c r="D28" s="26" t="s">
        <v>52</v>
      </c>
      <c r="E28" s="17"/>
      <c r="F28" s="40"/>
      <c r="G28" s="17"/>
      <c r="H28" s="41"/>
      <c r="I28" s="16"/>
      <c r="J28" s="17"/>
      <c r="K28" s="17"/>
      <c r="L28" s="40"/>
      <c r="M28" s="17"/>
      <c r="N28" s="41"/>
      <c r="O28" s="16"/>
      <c r="P28" s="13"/>
      <c r="Q28" s="17"/>
      <c r="R28" s="40"/>
      <c r="S28" s="17"/>
      <c r="T28" s="50"/>
      <c r="U28" s="16"/>
      <c r="V28" s="16"/>
      <c r="W28" s="23"/>
    </row>
  </sheetData>
  <dataValidations count="4">
    <dataValidation type="list" allowBlank="1" showInputMessage="1" showErrorMessage="1" sqref="K28 Q2:Q26 E28 E7:E14 S13 E2:E5 E16:E26 K2:K26" xr:uid="{1366D699-FCE4-4217-B845-813F36B94D1F}">
      <formula1>"Төлсөн,Төлөөгүй,Тайлбартай"</formula1>
    </dataValidation>
    <dataValidation type="list" allowBlank="1" showInputMessage="1" showErrorMessage="1" sqref="E27 K27 Q27:Q28 E6 E15" xr:uid="{B7EC9CD1-D329-4F9F-8F02-72F56C06C146}">
      <formula1>"Төлсөн,Төлөөгүй,Тайлбартай,Суугаагүй"</formula1>
    </dataValidation>
    <dataValidation type="list" allowBlank="1" showInputMessage="1" showErrorMessage="1" sqref="M2:M28 G2:G28 S2:S12 S14:S28" xr:uid="{F69AD993-1291-481C-B1A3-643FD216ECFB}">
      <formula1>"Данс,Бэлэн,Данс бэлэн"</formula1>
    </dataValidation>
    <dataValidation type="list" allowBlank="1" showInputMessage="1" showErrorMessage="1" sqref="O2:O28 I2:I28 U2:U28" xr:uid="{6B329AC0-0321-4B35-B102-E7FB23CF6C41}">
      <formula1>"Хаан,Голомт"</formula1>
    </dataValidation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Анхан шат</vt:lpstr>
      <vt:lpstr>Дунд шат</vt:lpstr>
      <vt:lpstr>Ахисан шат</vt:lpstr>
      <vt:lpstr>Хассан</vt:lpstr>
      <vt:lpstr> Ахисан шат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2025-12-25T11:46:07Z</cp:lastPrinted>
  <dcterms:created xsi:type="dcterms:W3CDTF">2025-11-20T09:51:28Z</dcterms:created>
  <dcterms:modified xsi:type="dcterms:W3CDTF">2025-12-27T08:16:39Z</dcterms:modified>
</cp:coreProperties>
</file>