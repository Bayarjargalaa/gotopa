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Gotopa_academy_edisk\GA_site\"/>
    </mc:Choice>
  </mc:AlternateContent>
  <xr:revisionPtr revIDLastSave="0" documentId="13_ncr:1_{DF046CB7-3EE2-4298-BC73-B315E1C7D776}" xr6:coauthVersionLast="47" xr6:coauthVersionMax="47" xr10:uidLastSave="{00000000-0000-0000-0000-000000000000}"/>
  <bookViews>
    <workbookView xWindow="-120" yWindow="-120" windowWidth="29040" windowHeight="15720" activeTab="2" xr2:uid="{0CBDBB15-7416-4EAD-8BF1-B59EF6884D97}"/>
  </bookViews>
  <sheets>
    <sheet name="Анхан шат" sheetId="2" r:id="rId1"/>
    <sheet name="Төлөгдөөгүй мэдээлэл" sheetId="5" r:id="rId2"/>
    <sheet name="Нэгтгэл" sheetId="4" r:id="rId3"/>
    <sheet name="Дунд" sheetId="1" r:id="rId4"/>
    <sheet name="Ахисан шат" sheetId="3" r:id="rId5"/>
  </sheets>
  <definedNames>
    <definedName name="_xlnm._FilterDatabase" localSheetId="0" hidden="1">'Анхан шат'!$A$1:$K$61</definedName>
    <definedName name="_xlnm._FilterDatabase" localSheetId="4" hidden="1">'Ахисан шат'!$A$1:$K$67</definedName>
    <definedName name="_xlnm._FilterDatabase" localSheetId="3" hidden="1">Дунд!$A$1:$H$32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5" l="1"/>
  <c r="A11" i="5"/>
  <c r="A12" i="5"/>
  <c r="A13" i="5"/>
  <c r="A14" i="5" s="1"/>
  <c r="A15" i="5" s="1"/>
  <c r="A16" i="5" s="1"/>
  <c r="A17" i="5" s="1"/>
  <c r="A18" i="5" s="1"/>
  <c r="A19" i="5" s="1"/>
  <c r="A20" i="5" s="1"/>
  <c r="A21" i="5" s="1"/>
  <c r="A22" i="5" s="1"/>
  <c r="A23" i="5" s="1"/>
  <c r="A24" i="5" s="1"/>
  <c r="A25" i="5" s="1"/>
  <c r="A26" i="5" s="1"/>
  <c r="A27" i="5" s="1"/>
  <c r="A28" i="5" s="1"/>
  <c r="A29" i="5" s="1"/>
  <c r="A6" i="5"/>
  <c r="A7" i="5" s="1"/>
  <c r="A8" i="5" s="1"/>
  <c r="A9" i="5" s="1"/>
  <c r="L37" i="4" l="1"/>
  <c r="J37" i="4"/>
  <c r="I37" i="4"/>
  <c r="K37" i="4"/>
  <c r="E36" i="4"/>
  <c r="E35" i="4"/>
  <c r="E34" i="4"/>
  <c r="E33" i="4"/>
  <c r="E32" i="4"/>
  <c r="E31" i="4"/>
  <c r="H37" i="4"/>
  <c r="F58" i="2"/>
  <c r="F57" i="2"/>
  <c r="F60" i="2" s="1"/>
  <c r="F37" i="4"/>
  <c r="D37" i="4"/>
  <c r="F64" i="3"/>
  <c r="F63" i="3"/>
  <c r="F65" i="3" s="1"/>
  <c r="E37" i="4" l="1"/>
  <c r="G37" i="4"/>
  <c r="L24" i="4"/>
  <c r="K24" i="4"/>
  <c r="J24" i="4"/>
  <c r="H24" i="4"/>
  <c r="D24" i="4"/>
  <c r="F23" i="4"/>
  <c r="F24" i="4" s="1"/>
  <c r="E23" i="4"/>
  <c r="E22" i="4"/>
  <c r="E21" i="4"/>
  <c r="G20" i="4"/>
  <c r="G24" i="4" s="1"/>
  <c r="E20" i="4"/>
  <c r="E19" i="4"/>
  <c r="E18" i="4"/>
  <c r="J12" i="4"/>
  <c r="D12" i="4"/>
  <c r="F11" i="4"/>
  <c r="G11" i="4" s="1"/>
  <c r="E11" i="4"/>
  <c r="E10" i="4"/>
  <c r="I10" i="4" s="1"/>
  <c r="E9" i="4"/>
  <c r="G8" i="4"/>
  <c r="E8" i="4"/>
  <c r="F7" i="4"/>
  <c r="F12" i="4" s="1"/>
  <c r="E7" i="4"/>
  <c r="I7" i="4" s="1"/>
  <c r="H6" i="4"/>
  <c r="H12" i="4" s="1"/>
  <c r="E6" i="4"/>
  <c r="I6" i="4" s="1"/>
  <c r="E24" i="4" l="1"/>
  <c r="I24" i="4" s="1"/>
  <c r="I8" i="4"/>
  <c r="G12" i="4"/>
  <c r="E12" i="4"/>
  <c r="I12" i="4" s="1"/>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41" authorId="0" shapeId="0" xr:uid="{139C76E3-D96C-457C-A70B-44D7E2D7BB2D}">
      <text>
        <r>
          <rPr>
            <b/>
            <sz val="9"/>
            <color indexed="81"/>
            <rFont val="Tahoma"/>
            <family val="2"/>
          </rPr>
          <t>Admin:</t>
        </r>
        <r>
          <rPr>
            <sz val="9"/>
            <color indexed="81"/>
            <rFont val="Tahoma"/>
            <family val="2"/>
          </rPr>
          <t xml:space="preserve">
2025/12/3-нд Голомт банк руу 500000 төгрөг шилжүүлсэн.</t>
        </r>
      </text>
    </comment>
  </commentList>
</comments>
</file>

<file path=xl/sharedStrings.xml><?xml version="1.0" encoding="utf-8"?>
<sst xmlns="http://schemas.openxmlformats.org/spreadsheetml/2006/main" count="823" uniqueCount="272">
  <si>
    <t>№</t>
  </si>
  <si>
    <t>Овог нэр</t>
  </si>
  <si>
    <t>Утас</t>
  </si>
  <si>
    <t>А.Дэмид</t>
  </si>
  <si>
    <t>Дунд</t>
  </si>
  <si>
    <t>Г.Галбадрах</t>
  </si>
  <si>
    <t>Н.Оюунзул</t>
  </si>
  <si>
    <t>Э.Эрдэнэцэцэг</t>
  </si>
  <si>
    <t>Д.Сайнбилэг</t>
  </si>
  <si>
    <t>Б.Баянжаргал</t>
  </si>
  <si>
    <t>В.Батжаргал</t>
  </si>
  <si>
    <t>Л.Дөлгөөн</t>
  </si>
  <si>
    <t>Х.Наранжаргал</t>
  </si>
  <si>
    <t>Ж.Алтантуяа</t>
  </si>
  <si>
    <t>Ц.Туяамандах</t>
  </si>
  <si>
    <t>М.Халиун</t>
  </si>
  <si>
    <t>Д.Даваасүрэн</t>
  </si>
  <si>
    <t>Ч.Баасансүрэн</t>
  </si>
  <si>
    <t>Ж.Далайжаргал</t>
  </si>
  <si>
    <t>Ж.Дашхүү</t>
  </si>
  <si>
    <t>Б.Ганхүлэг</t>
  </si>
  <si>
    <t>Б.Цогнэмэх</t>
  </si>
  <si>
    <t>Д.Саруулжавхлан</t>
  </si>
  <si>
    <t>А.Ариунаа</t>
  </si>
  <si>
    <t>Г.Мөнгөнчимэг</t>
  </si>
  <si>
    <t>Холбогдох утас</t>
  </si>
  <si>
    <t>Т.Ууганбаяр</t>
  </si>
  <si>
    <t>Анхан</t>
  </si>
  <si>
    <t>Б.Гантөмөр</t>
  </si>
  <si>
    <t>Л.Дэлгэрмаа</t>
  </si>
  <si>
    <t>Г.Энхээ</t>
  </si>
  <si>
    <t>А.Удвалцэцэг</t>
  </si>
  <si>
    <t>Б.Ариунзаяа</t>
  </si>
  <si>
    <t>Б.Одонбаатар</t>
  </si>
  <si>
    <t>Ч.Аззаяа</t>
  </si>
  <si>
    <t>А.Уянгаа</t>
  </si>
  <si>
    <t>В.Солонго</t>
  </si>
  <si>
    <t>Н.Цэрэнпил</t>
  </si>
  <si>
    <t>Ж.Золзаяа</t>
  </si>
  <si>
    <t>Н.Уянга</t>
  </si>
  <si>
    <t>Н.Баярмаа</t>
  </si>
  <si>
    <t>Н.Дагвасүрэн</t>
  </si>
  <si>
    <t>Ш.Буджав</t>
  </si>
  <si>
    <t>Б.Болдбаяр</t>
  </si>
  <si>
    <t>Л.Баасанжаргал</t>
  </si>
  <si>
    <t>Б.Оюунчимэг</t>
  </si>
  <si>
    <t>Б.Бямбачулуун</t>
  </si>
  <si>
    <t>Б.Билэгжаргал</t>
  </si>
  <si>
    <t>Д.Солонго</t>
  </si>
  <si>
    <t>Б.Батчимэг</t>
  </si>
  <si>
    <t>Г.Эрдэнэцэцэг</t>
  </si>
  <si>
    <t>М.Алтанцэцэг</t>
  </si>
  <si>
    <t>Д.Оюун</t>
  </si>
  <si>
    <t>П.Цэнд-Аюуш</t>
  </si>
  <si>
    <t>Д.Оюун-Эрдэнэ</t>
  </si>
  <si>
    <t>Ж.Шинэгэрэл</t>
  </si>
  <si>
    <t>С.Золжаргал</t>
  </si>
  <si>
    <t>М.Чинсарнай</t>
  </si>
  <si>
    <t>Э.Уянга</t>
  </si>
  <si>
    <t>С.Гүндэгмаа</t>
  </si>
  <si>
    <t>Т.Энгүүн</t>
  </si>
  <si>
    <t>Б.Баярмаа</t>
  </si>
  <si>
    <t>Ш.Мөнхбаяр</t>
  </si>
  <si>
    <t>Д.Итгэлмаа</t>
  </si>
  <si>
    <t>Р.Оюунмаа</t>
  </si>
  <si>
    <t>Ц.Баянбилэг</t>
  </si>
  <si>
    <t>Д.Ганцоож</t>
  </si>
  <si>
    <t>Ш.Мөнхцэцэг</t>
  </si>
  <si>
    <t>С.Болор-Эрдэнэ</t>
  </si>
  <si>
    <t>Ж.Бадамсүрэн</t>
  </si>
  <si>
    <t>Нандин-Эрдэнэ</t>
  </si>
  <si>
    <t>П.Түмэнжаргал</t>
  </si>
  <si>
    <t>В.Хишигсүрэн</t>
  </si>
  <si>
    <t>Ч.Алтанцогт</t>
  </si>
  <si>
    <t>Б.Маралгоо</t>
  </si>
  <si>
    <t>М.Мөнхтуяа</t>
  </si>
  <si>
    <t>С.Энхцэцэг</t>
  </si>
  <si>
    <t>Энхбилэг</t>
  </si>
  <si>
    <t>Бясалгалын түвшин (анхан)</t>
  </si>
  <si>
    <t>Д.Чинсайхан</t>
  </si>
  <si>
    <t>Б.Вандандулам</t>
  </si>
  <si>
    <t>А.Одончимэг</t>
  </si>
  <si>
    <t>Б.Хоролсүрэн</t>
  </si>
  <si>
    <t>Ц.Баяндэлгэр</t>
  </si>
  <si>
    <t>Сургалтын шат ( дунд)</t>
  </si>
  <si>
    <t>Д/д</t>
  </si>
  <si>
    <t>Тайлбар</t>
  </si>
  <si>
    <t>11 сард суугаагүй</t>
  </si>
  <si>
    <t>Бартер</t>
  </si>
  <si>
    <t>Онлайн 11 сард төлбөр төлсөн.</t>
  </si>
  <si>
    <t>Төлсөн</t>
  </si>
  <si>
    <t>Төлөөгүй</t>
  </si>
  <si>
    <t>Тайлбартай</t>
  </si>
  <si>
    <t>Дэлгэртуяа багшаас тодруулах</t>
  </si>
  <si>
    <t>Суугаагүй</t>
  </si>
  <si>
    <t>Дутуу төлсөн</t>
  </si>
  <si>
    <t>9 сард 3 суусан мөнгөө 93750 төлсөн гэж тайлбарласан.</t>
  </si>
  <si>
    <t>М.Оргилмаа</t>
  </si>
  <si>
    <t>10 сар</t>
  </si>
  <si>
    <t>9 сар</t>
  </si>
  <si>
    <t>11 сар</t>
  </si>
  <si>
    <t>Их багшаас тодруулах, 2025 оны 4 сард суух байсныг хойшлуулсан гэсэн тайлбар өгсөн. 2025/3/15-нд 500,000 төгрөг төлбөр төлсөн гэж хэлсэн.</t>
  </si>
  <si>
    <t>Ээж нь эмнэлэгт хагалгаанд орсон тул суух боломжгүй байгаа. Энэ 3 өдрөөс багштай ирж уулзана гэсэн</t>
  </si>
  <si>
    <t>Ж.Манлайсүрэн</t>
  </si>
  <si>
    <t>Б.Доржсамбуу</t>
  </si>
  <si>
    <t>Онлайн анги 2025/11/24-нд утсаар холбогдож төлүүлсэн.</t>
  </si>
  <si>
    <t>10 сар төлбөр төлөөгүй, олон удаа залгасан ба холбогдож байгаа боловч утсаа авахгүй байгаа. 11 сард суугаагүй.</t>
  </si>
  <si>
    <t>Дэлгэртуяа багш мэднэ (Мөнгөнтуяа эгчийн охин)</t>
  </si>
  <si>
    <t>2025/10/11-нд 450,000 төгрөг дансаар шилжүүлсэн. Зөрүү 100,000 төгрөг бэлэн өгсөн гэсэн. Бэлэн төлбөрийг их багшаас тодруулах</t>
  </si>
  <si>
    <t>Огноо</t>
  </si>
  <si>
    <t>10 сарын төлбөрийн зөрүү 110000 төгрөгийг 2025/11/20-нд 310000 төгрөг шилжүүлсэн.</t>
  </si>
  <si>
    <t>Данс</t>
  </si>
  <si>
    <t>Бэлэн</t>
  </si>
  <si>
    <t>Гадаадад байдаг ба онлайнаар хичээлээ үздэг. Их багшаас тодруулахад төлсөн гэж хэлсэн.</t>
  </si>
  <si>
    <t>Данс бэлэн</t>
  </si>
  <si>
    <t>Төлсөн данс</t>
  </si>
  <si>
    <t>Банк</t>
  </si>
  <si>
    <t>Голомт</t>
  </si>
  <si>
    <t>Хаан</t>
  </si>
  <si>
    <t>Төлбөрийн хэлбэр</t>
  </si>
  <si>
    <t>Сургалтын шат (анхан, дунд, ахисан)</t>
  </si>
  <si>
    <t>Төлбөр (₮)</t>
  </si>
  <si>
    <t>Төлбөр төлсөн огноо</t>
  </si>
  <si>
    <t>Төлбөрийн хэлбэр (бэлэн, гүйлгээ, )</t>
  </si>
  <si>
    <t>Минжмаа</t>
  </si>
  <si>
    <t>Ахисан</t>
  </si>
  <si>
    <t>Далайжаргал</t>
  </si>
  <si>
    <t>Сэржмядаг</t>
  </si>
  <si>
    <t>Болор-Эрдэнэ</t>
  </si>
  <si>
    <t>Тодруулах</t>
  </si>
  <si>
    <t>Отгон</t>
  </si>
  <si>
    <t>Баасанбямба</t>
  </si>
  <si>
    <t>Буянжаргал</t>
  </si>
  <si>
    <t>Дашдондог</t>
  </si>
  <si>
    <t>Ачбаяр</t>
  </si>
  <si>
    <t>Өлзийбилэг</t>
  </si>
  <si>
    <t>Гангаалхам</t>
  </si>
  <si>
    <t>Зулцэцэг</t>
  </si>
  <si>
    <t>Лхамрагчаа</t>
  </si>
  <si>
    <t>Юмжирдулам</t>
  </si>
  <si>
    <t>Сэвжидмаа</t>
  </si>
  <si>
    <t>Дашнамжил</t>
  </si>
  <si>
    <t>Сугаржаргал</t>
  </si>
  <si>
    <t>Гэрэлгуа</t>
  </si>
  <si>
    <t>Гансүх</t>
  </si>
  <si>
    <t xml:space="preserve">Галбаатар </t>
  </si>
  <si>
    <t>Лхагвасүрэн</t>
  </si>
  <si>
    <t>Бадамгарав</t>
  </si>
  <si>
    <t>Сарангэрэл</t>
  </si>
  <si>
    <t>Нямсүрэн</t>
  </si>
  <si>
    <t>Оюунсүрэн</t>
  </si>
  <si>
    <t>Рэгмаа</t>
  </si>
  <si>
    <t>Цэцэгдулам</t>
  </si>
  <si>
    <t>Заланбямбаа</t>
  </si>
  <si>
    <t>Сайнбаян</t>
  </si>
  <si>
    <t>Амаржаргал</t>
  </si>
  <si>
    <t>Ганбат</t>
  </si>
  <si>
    <t>Отгонсугар</t>
  </si>
  <si>
    <t>Алтанцэцэг</t>
  </si>
  <si>
    <t>Төлбөрийн дүн</t>
  </si>
  <si>
    <t>3 төлбөр, очир хонх 300000 төгрөгийн хамт шилжүүлсэн</t>
  </si>
  <si>
    <t>Ж.Тогтуунжаргал</t>
  </si>
  <si>
    <t>2025/9/3-нд бүтэн 12 сарын төлбөр төлсөн</t>
  </si>
  <si>
    <t>2025/12/4 утсаар ярьж тодруулсан. 11 суугаагүй тул сертификат авахгүй гэсэн</t>
  </si>
  <si>
    <t>9 сард 5 суусан ба 210,000 төгрөгийг 3 удаа хувааж төлсөн. С.Золжаргал 2025/9/3-30000, 2025/9/20-70000, 2025/9/23-50000, 2025/10/21-нд 100000 төгрөгийг Хаан банк 5027586600 тоот дансанд тус тус хийсэн байна. Тиймээс дахин тодруулж төлбөр төлсөн эсэхийг шалгах 2025/11/19-нд 1 удаа ирж суусан.</t>
  </si>
  <si>
    <t>Оюунцэцэг.Д</t>
  </si>
  <si>
    <t>Оюунсүрэн.Д</t>
  </si>
  <si>
    <t>Байгаль.Б</t>
  </si>
  <si>
    <t>Ариунбаяр.Д</t>
  </si>
  <si>
    <t>Сумъяа.А</t>
  </si>
  <si>
    <t>Одончимэг.Д</t>
  </si>
  <si>
    <t>Дэлгэрмаа.Н</t>
  </si>
  <si>
    <t>Оюунтуяа.Д</t>
  </si>
  <si>
    <t>Цэцэгмаа.Т</t>
  </si>
  <si>
    <t>Золзаяа.О</t>
  </si>
  <si>
    <t>Гэрэлмаа.Н</t>
  </si>
  <si>
    <t>Ундрам.С</t>
  </si>
  <si>
    <t>Баярсайхан.Д</t>
  </si>
  <si>
    <t>Одончимэг.Б</t>
  </si>
  <si>
    <t>Мөнхтуяа.Н</t>
  </si>
  <si>
    <t>Байгаль.С</t>
  </si>
  <si>
    <t>Гэрэлмаа.У</t>
  </si>
  <si>
    <t>Дэлгэрмаа.Ё</t>
  </si>
  <si>
    <t>Заяа.С</t>
  </si>
  <si>
    <t>Дэлгэрцэцэг.Ц</t>
  </si>
  <si>
    <t>Бямбаа.Б</t>
  </si>
  <si>
    <t>Бат-Эрдэнэ.Д</t>
  </si>
  <si>
    <t>Энэбиш.Г</t>
  </si>
  <si>
    <t>Мөнхтуяа.Ч</t>
  </si>
  <si>
    <t>Анхзаяа.Б</t>
  </si>
  <si>
    <t>Элбэгзаяа.П</t>
  </si>
  <si>
    <t>Нансалмаа</t>
  </si>
  <si>
    <t>Даарийжав</t>
  </si>
  <si>
    <t>Их багшаас тодруулах, 2025 оны 4 сард аав Жаргалсайхан нь суух байсан ба суугаагүй тул аавын төлбөр дээр сууж байгаа гэсэн. Жаргалсайхан</t>
  </si>
  <si>
    <t>Оюунчимэг.У</t>
  </si>
  <si>
    <t>2025.09.01-2025.10.16-ны байдлаарх сургалтын төлбөрийн мэдээллийн нэгтгэсэн тоон үзүүлэлт</t>
  </si>
  <si>
    <t>Анги</t>
  </si>
  <si>
    <t>Сар</t>
  </si>
  <si>
    <t>Нийт төлөх ёстой хүний тоо болон дүн</t>
  </si>
  <si>
    <t>Төлбөр төлсөн хүний тоо болон дүн</t>
  </si>
  <si>
    <t xml:space="preserve">Төлөгдөөгүй хүний тоо болон дүн </t>
  </si>
  <si>
    <t>Илүү төлсөн</t>
  </si>
  <si>
    <t>Тоо</t>
  </si>
  <si>
    <t>Анхан шат</t>
  </si>
  <si>
    <t>Энхцэцэг 100000, Бадамсүрэн 150000 төгрөг дутуу төлсөн.</t>
  </si>
  <si>
    <t>Дунд шат</t>
  </si>
  <si>
    <t>2 хүн 11 сарын төлбөрийг хамт хийсэн тул</t>
  </si>
  <si>
    <t>Минжмаа болон Оюунцэцэг нар бүтэн жилээр төлсөн, Далайжаргал өмнөх 5 болон 6 сарын төлбөрийг төлсөн тул</t>
  </si>
  <si>
    <t>10 cар</t>
  </si>
  <si>
    <t>Өмнөх сарын 50000 төгрөг төлөгдсөн</t>
  </si>
  <si>
    <t>Нийт</t>
  </si>
  <si>
    <t>2025.09.01-2025.10.31-ны байдлаарх сургалтын төлбөрийн мэдээллийн нэгтгэсэн тоон үзүүлэлт</t>
  </si>
  <si>
    <t>Э.Уянга, M.Билгүүн, Энхбилэг Дэлгэртуяа багш мэдэж байгаа.</t>
  </si>
  <si>
    <t>Энхцэцэг 100000, Энхээ 70000 төгрөг дутуу төлсөн.</t>
  </si>
  <si>
    <t>М.Халиун Дэлгэртуяа багш мэдэж байгаа.</t>
  </si>
  <si>
    <t>2025.09.01-2025.11.30-ны байдлаарх сургалтын төлбөрийн мэдээллийн нэгтгэсэн тоон үзүүлэлт</t>
  </si>
  <si>
    <t>11 cар</t>
  </si>
  <si>
    <t>Нийт төлөх</t>
  </si>
  <si>
    <t>Төлөгдөөгүй</t>
  </si>
  <si>
    <t>М.Халиун Дэлгэртуяа багш мэдэж байгаа. Өмнөх сарын дутуу төлсөн 110000 төгрөгийг нэмж төлүүлсэн.</t>
  </si>
  <si>
    <t>2 хүн 9 сард төлсөн</t>
  </si>
  <si>
    <t xml:space="preserve">Минжмаа болон Оюунцэцэг нар бүтэн жилээр төлсөн, </t>
  </si>
  <si>
    <t>2025.9.8-нд 750000 төгрөгийг төлсөн гэсэн боловч хуулган дээр байхгшй байна.</t>
  </si>
  <si>
    <t>2025.9.8-нд 250000 төгрөгийг төлсөн гэсэн боловч хуулган дээр байхгшй байна.</t>
  </si>
  <si>
    <t>2025.9.8-нд 150000 төгрөгийг төлсөн боловч хуулган дээр байхгүй байна. 2025.10.8-нд  100000, 11/26-150000 төгрөг төлсөн.</t>
  </si>
  <si>
    <t>Төлөгдсөн</t>
  </si>
  <si>
    <t>Э.Уянга, M.Билгүүн Дэлгэртуяа багш мэдэж байгаа.</t>
  </si>
  <si>
    <t>Э.Уянга, M.Билгүүн, Нандин-Эрдэнэ Дэлгэртуяа багш мэдэж байгаа.</t>
  </si>
  <si>
    <t>9 сард төлбөр дутуу төлсөн харилцагчтай холбогдож арга хэмжээ авсан байдал</t>
  </si>
  <si>
    <t>Имэйл</t>
  </si>
  <si>
    <t>Сургалт эхэлсэн огноо</t>
  </si>
  <si>
    <t>Баримтын дугаар</t>
  </si>
  <si>
    <t>Төлбөр төлсөн эсэх (тийм/үгүй)</t>
  </si>
  <si>
    <t xml:space="preserve">Сургалтын төлбөрийн дүн </t>
  </si>
  <si>
    <t>Ярьсан тайлбар</t>
  </si>
  <si>
    <t>Үгүй</t>
  </si>
  <si>
    <t>2025/09/08-нд 1 удаа суусан</t>
  </si>
  <si>
    <t>Ээжийн бие өвдсөн шалтгаанаар Дархан явсан цаашид суух боломжгүй болсон.</t>
  </si>
  <si>
    <t>Тийм</t>
  </si>
  <si>
    <t>Янжинлхам</t>
  </si>
  <si>
    <t>2025/10/24 гэхэд төлнө гэж мэдэгдсэн ба 2025/11/10-ны өдөр ярихад хагалгаанд орох гэж байгаа тул хугацаа сайн хэлж мэдэхгүй байна гэсэн хариу өгсөн.</t>
  </si>
  <si>
    <t>Утсаа аваагүй.</t>
  </si>
  <si>
    <t>Дэлгэртуяа багштай бартераар төлнө гэж ярьсан байгаа</t>
  </si>
  <si>
    <t>2025/03/15-нд 500000 төгрөг шилжүүлсэн ба тухайн үед суугаагүй нөхөж сууж байгаа тул</t>
  </si>
  <si>
    <t>Үнэгүй сургаж байгаа.</t>
  </si>
  <si>
    <t>2025/09/3-нд 1 удаа суусан</t>
  </si>
  <si>
    <t>Суухаа больсон.</t>
  </si>
  <si>
    <t>2025/09/18-нд 1 удаа суусан</t>
  </si>
  <si>
    <t>Утас нь холбогдох боломжгүй эргэн холбогдоно.</t>
  </si>
  <si>
    <t>Халиун</t>
  </si>
  <si>
    <t>Хишигмаагаас тодруулах</t>
  </si>
  <si>
    <t>Дөлгөөн</t>
  </si>
  <si>
    <t>А.Сумъяа</t>
  </si>
  <si>
    <t>Холбоо барих мэдээлэл байхгүй тул холбогдоогүй.</t>
  </si>
  <si>
    <t>Н.Дэлгэрмаа</t>
  </si>
  <si>
    <t>2025/09/3,6-нд 2 удаа суусан</t>
  </si>
  <si>
    <t>Нээлтийн хичээлд ирсэн тухайн сард суугаагүй гэсэн тайлбар өгсөн.</t>
  </si>
  <si>
    <t>2025/09/6-нд 1 удаа суусан</t>
  </si>
  <si>
    <t>Цэцэгмаа</t>
  </si>
  <si>
    <t>5 сард илүү төлсөн тул 9 сар луу шилжүүлсэн байна.</t>
  </si>
  <si>
    <t>5 сард илүү төлсөн тул 9 сар луу шилжүүлсэн гэсэн тайлбар өгсөн.</t>
  </si>
  <si>
    <t>2025/09/13-нд 1 удаа суусан</t>
  </si>
  <si>
    <t>Төв дээр ирэхэд нь төлбөр төлөх талаар хэлэхэхд нэг удаагийн суусан төлбөр хэд гэж асуусан ба ахисан шатны ангийн төлбөрийг хувааж төлөхгүй гэсэн удирдлагаас өгсөн чиглэл байгааг мэдэгдэхэд тодорхой хариу өгөөгүй гарч явсан.</t>
  </si>
  <si>
    <t>Төлнө гэсэн</t>
  </si>
  <si>
    <t>2025/10/25 гэхэд төлнө.</t>
  </si>
  <si>
    <t>Д.Баярсайхан</t>
  </si>
  <si>
    <t>Б.Бямбаа</t>
  </si>
  <si>
    <t>2025/09/10,13-нд 2 удаа суусан</t>
  </si>
  <si>
    <t>Д.Бат-Эрдэнэ</t>
  </si>
  <si>
    <t>Б.Анхзаяа</t>
  </si>
  <si>
    <t>2025/09/17-нд 1 удаа суусан</t>
  </si>
  <si>
    <t>2025/09/27-нд 1 удаа суусан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</si>
</sst>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name val="Calibri"/>
      <family val="2"/>
      <scheme val="minor"/>
    </font>
    <font>
      <sz val="11"/>
      <color theme="1"/>
      <name val="Calibri"/>
      <family val="2"/>
      <scheme val="minor"/>
    </font>
    <font>
      <b/>
      <sz val="10"/>
      <color theme="0"/>
      <name val="Times New Roman"/>
      <family val="1"/>
    </font>
    <font>
      <sz val="10"/>
      <color theme="1"/>
      <name val="Times New Roman"/>
      <family val="1"/>
    </font>
    <font>
      <sz val="10"/>
      <name val="Times New Roman"/>
      <family val="1"/>
    </font>
    <font>
      <sz val="9"/>
      <color indexed="81"/>
      <name val="Tahoma"/>
      <family val="2"/>
    </font>
    <font>
      <b/>
      <sz val="9"/>
      <color indexed="81"/>
      <name val="Tahoma"/>
      <family val="2"/>
    </font>
    <font>
      <sz val="10"/>
      <color rgb="FF7030A0"/>
      <name val="Times New Roman"/>
      <family val="1"/>
    </font>
    <font>
      <sz val="11"/>
      <name val="Times New Roman"/>
      <family val="1"/>
    </font>
    <font>
      <b/>
      <sz val="11"/>
      <color theme="1"/>
      <name val="Times New Roman"/>
      <family val="1"/>
    </font>
    <font>
      <sz val="10"/>
      <color theme="0"/>
      <name val="Times New Roman"/>
      <family val="1"/>
    </font>
    <font>
      <b/>
      <sz val="10"/>
      <color theme="1"/>
      <name val="Times New Roman"/>
      <family val="1"/>
    </font>
    <font>
      <sz val="10"/>
      <color theme="1"/>
      <name val="Calibri"/>
      <family val="2"/>
      <scheme val="minor"/>
    </font>
    <font>
      <b/>
      <sz val="12"/>
      <color theme="1"/>
      <name val="Times New Roman"/>
      <family val="1"/>
    </font>
    <font>
      <b/>
      <sz val="10"/>
      <color rgb="FFFF0000"/>
      <name val="Times New Roman"/>
      <family val="1"/>
    </font>
  </fonts>
  <fills count="6">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6" tint="0.79998168889431442"/>
        <bgColor indexed="64"/>
      </patternFill>
    </fill>
    <fill>
      <patternFill patternType="solid">
        <fgColor rgb="FF0070C0"/>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43" fontId="3" fillId="0" borderId="0" applyFont="0" applyFill="0" applyBorder="0" applyAlignment="0" applyProtection="0"/>
  </cellStyleXfs>
  <cellXfs count="112">
    <xf numFmtId="0" fontId="0" fillId="0" borderId="0" xfId="0"/>
    <xf numFmtId="0" fontId="1" fillId="3" borderId="1" xfId="0" applyFont="1" applyFill="1" applyBorder="1"/>
    <xf numFmtId="0" fontId="1" fillId="0" borderId="1" xfId="0" applyFont="1" applyBorder="1"/>
    <xf numFmtId="0" fontId="1" fillId="0" borderId="1" xfId="0" applyFont="1" applyBorder="1" applyAlignment="1">
      <alignment horizontal="center"/>
    </xf>
    <xf numFmtId="0" fontId="2" fillId="0" borderId="0" xfId="0" applyFont="1"/>
    <xf numFmtId="0" fontId="1" fillId="3" borderId="1" xfId="0" applyFont="1" applyFill="1" applyBorder="1" applyAlignment="1">
      <alignment horizontal="center"/>
    </xf>
    <xf numFmtId="1" fontId="0" fillId="0" borderId="0" xfId="0" applyNumberFormat="1" applyAlignment="1">
      <alignment horizontal="center"/>
    </xf>
    <xf numFmtId="0" fontId="0" fillId="0" borderId="0" xfId="0" applyFont="1"/>
    <xf numFmtId="0" fontId="4" fillId="2" borderId="1" xfId="0" applyFont="1" applyFill="1" applyBorder="1" applyAlignment="1">
      <alignment horizontal="center" vertical="center" wrapText="1"/>
    </xf>
    <xf numFmtId="43" fontId="4" fillId="2" borderId="1" xfId="1" applyFont="1" applyFill="1" applyBorder="1" applyAlignment="1">
      <alignment horizontal="center" vertical="center" wrapText="1"/>
    </xf>
    <xf numFmtId="0" fontId="5" fillId="0" borderId="1" xfId="0" applyFont="1" applyBorder="1" applyAlignment="1">
      <alignment horizontal="center"/>
    </xf>
    <xf numFmtId="0" fontId="5" fillId="0" borderId="1" xfId="0" applyFont="1" applyBorder="1"/>
    <xf numFmtId="14" fontId="5" fillId="0" borderId="1" xfId="0" applyNumberFormat="1" applyFont="1" applyBorder="1"/>
    <xf numFmtId="43" fontId="5" fillId="3" borderId="1" xfId="1" applyFont="1" applyFill="1" applyBorder="1"/>
    <xf numFmtId="43" fontId="5" fillId="4" borderId="1" xfId="1" applyFont="1" applyFill="1" applyBorder="1"/>
    <xf numFmtId="0" fontId="5" fillId="3" borderId="1" xfId="0" applyFont="1" applyFill="1" applyBorder="1"/>
    <xf numFmtId="0" fontId="5" fillId="3" borderId="1" xfId="0" applyFont="1" applyFill="1" applyBorder="1" applyAlignment="1">
      <alignment horizontal="center"/>
    </xf>
    <xf numFmtId="14" fontId="5" fillId="3" borderId="1" xfId="0" applyNumberFormat="1" applyFont="1" applyFill="1" applyBorder="1"/>
    <xf numFmtId="0" fontId="5" fillId="0" borderId="1" xfId="0" applyFont="1" applyBorder="1" applyAlignment="1">
      <alignment horizontal="center" vertical="center"/>
    </xf>
    <xf numFmtId="0" fontId="5" fillId="3" borderId="1" xfId="0" applyFont="1" applyFill="1" applyBorder="1" applyAlignment="1">
      <alignment horizontal="center" vertical="center"/>
    </xf>
    <xf numFmtId="1" fontId="6" fillId="3" borderId="1" xfId="0" applyNumberFormat="1" applyFont="1" applyFill="1" applyBorder="1" applyAlignment="1">
      <alignment horizontal="center"/>
    </xf>
    <xf numFmtId="0" fontId="6" fillId="3" borderId="1" xfId="0" applyFont="1" applyFill="1" applyBorder="1" applyAlignment="1">
      <alignment horizontal="center"/>
    </xf>
    <xf numFmtId="0" fontId="4" fillId="2" borderId="0" xfId="0"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 fontId="6" fillId="0" borderId="1" xfId="0" applyNumberFormat="1" applyFont="1" applyBorder="1" applyAlignment="1">
      <alignment horizontal="center"/>
    </xf>
    <xf numFmtId="0" fontId="6" fillId="0" borderId="1" xfId="0" applyFont="1" applyBorder="1"/>
    <xf numFmtId="0" fontId="6" fillId="0" borderId="1" xfId="0" applyFont="1" applyBorder="1" applyAlignment="1">
      <alignment horizontal="center"/>
    </xf>
    <xf numFmtId="1" fontId="6" fillId="0" borderId="1" xfId="0" applyNumberFormat="1"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horizontal="center" vertical="center"/>
    </xf>
    <xf numFmtId="0" fontId="6" fillId="3" borderId="1" xfId="0" applyFont="1" applyFill="1" applyBorder="1" applyAlignment="1">
      <alignment vertical="center"/>
    </xf>
    <xf numFmtId="49" fontId="6" fillId="0" borderId="1" xfId="0" applyNumberFormat="1" applyFont="1" applyBorder="1" applyAlignment="1">
      <alignment vertical="center" wrapText="1"/>
    </xf>
    <xf numFmtId="0" fontId="6" fillId="3" borderId="1" xfId="0" applyFont="1" applyFill="1" applyBorder="1"/>
    <xf numFmtId="0" fontId="6" fillId="3" borderId="1" xfId="0" applyFont="1" applyFill="1" applyBorder="1" applyAlignment="1">
      <alignment horizontal="center" vertical="center"/>
    </xf>
    <xf numFmtId="49" fontId="6" fillId="3" borderId="1" xfId="0" applyNumberFormat="1" applyFont="1" applyFill="1" applyBorder="1" applyAlignment="1">
      <alignment vertical="center" wrapText="1"/>
    </xf>
    <xf numFmtId="0" fontId="5" fillId="3" borderId="1" xfId="0" applyFont="1" applyFill="1" applyBorder="1" applyAlignment="1">
      <alignment horizontal="left" vertical="center"/>
    </xf>
    <xf numFmtId="0" fontId="5" fillId="3" borderId="1" xfId="0" applyFont="1" applyFill="1" applyBorder="1" applyAlignment="1">
      <alignment horizontal="right" vertical="center"/>
    </xf>
    <xf numFmtId="0" fontId="5" fillId="3" borderId="1" xfId="0" applyFont="1" applyFill="1" applyBorder="1" applyAlignment="1">
      <alignment vertical="center"/>
    </xf>
    <xf numFmtId="49" fontId="5" fillId="0" borderId="1" xfId="0" applyNumberFormat="1" applyFont="1" applyBorder="1" applyAlignment="1">
      <alignment vertical="center" wrapText="1"/>
    </xf>
    <xf numFmtId="14" fontId="6" fillId="3" borderId="1" xfId="0" applyNumberFormat="1" applyFont="1" applyFill="1" applyBorder="1" applyAlignment="1">
      <alignment horizontal="center"/>
    </xf>
    <xf numFmtId="1" fontId="6" fillId="3" borderId="1" xfId="0" applyNumberFormat="1" applyFont="1" applyFill="1" applyBorder="1" applyAlignment="1">
      <alignment horizontal="center" vertical="center"/>
    </xf>
    <xf numFmtId="14" fontId="6" fillId="3" borderId="1" xfId="0" applyNumberFormat="1" applyFont="1" applyFill="1" applyBorder="1" applyAlignment="1">
      <alignment horizontal="center" vertical="center"/>
    </xf>
    <xf numFmtId="14" fontId="6" fillId="3" borderId="1" xfId="0" applyNumberFormat="1" applyFont="1" applyFill="1" applyBorder="1" applyAlignment="1">
      <alignment horizontal="right"/>
    </xf>
    <xf numFmtId="14" fontId="5" fillId="3" borderId="1" xfId="0" applyNumberFormat="1" applyFont="1" applyFill="1" applyBorder="1" applyAlignment="1">
      <alignment horizontal="right" vertical="center"/>
    </xf>
    <xf numFmtId="0" fontId="6" fillId="3" borderId="1" xfId="0" applyFont="1" applyFill="1" applyBorder="1" applyAlignment="1">
      <alignment horizontal="right"/>
    </xf>
    <xf numFmtId="14" fontId="6" fillId="3" borderId="1" xfId="0" applyNumberFormat="1" applyFont="1" applyFill="1" applyBorder="1" applyAlignment="1">
      <alignment horizontal="right" vertical="center"/>
    </xf>
    <xf numFmtId="0" fontId="6" fillId="0" borderId="1" xfId="0" applyFont="1" applyBorder="1" applyAlignment="1">
      <alignment horizontal="right"/>
    </xf>
    <xf numFmtId="1" fontId="5" fillId="3" borderId="1" xfId="0" applyNumberFormat="1" applyFont="1" applyFill="1" applyBorder="1" applyAlignment="1">
      <alignment horizontal="center" vertical="center"/>
    </xf>
    <xf numFmtId="43" fontId="6" fillId="3" borderId="1" xfId="1" applyFont="1" applyFill="1" applyBorder="1" applyAlignment="1">
      <alignment horizontal="center" vertical="center"/>
    </xf>
    <xf numFmtId="0" fontId="6" fillId="3" borderId="1" xfId="0" applyFont="1" applyFill="1" applyBorder="1" applyAlignment="1">
      <alignment horizontal="left"/>
    </xf>
    <xf numFmtId="0" fontId="10" fillId="3" borderId="1" xfId="0" applyFont="1" applyFill="1" applyBorder="1" applyAlignment="1">
      <alignment horizontal="center" vertical="center"/>
    </xf>
    <xf numFmtId="0" fontId="10" fillId="3" borderId="1" xfId="0" applyFont="1" applyFill="1" applyBorder="1" applyAlignment="1">
      <alignment horizontal="center"/>
    </xf>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49" fontId="1" fillId="0" borderId="0" xfId="0" applyNumberFormat="1" applyFont="1" applyAlignment="1">
      <alignment vertical="center" wrapText="1"/>
    </xf>
    <xf numFmtId="43" fontId="5" fillId="0" borderId="1" xfId="1" applyFont="1" applyBorder="1"/>
    <xf numFmtId="43" fontId="5" fillId="0" borderId="1" xfId="0" applyNumberFormat="1" applyFont="1" applyBorder="1"/>
    <xf numFmtId="1" fontId="5" fillId="0" borderId="1" xfId="1" applyNumberFormat="1" applyFont="1" applyBorder="1" applyAlignment="1">
      <alignment horizontal="center"/>
    </xf>
    <xf numFmtId="0" fontId="5" fillId="0" borderId="1" xfId="0" applyFont="1" applyBorder="1" applyAlignment="1">
      <alignment vertical="center"/>
    </xf>
    <xf numFmtId="43" fontId="5" fillId="0" borderId="1" xfId="1" applyFont="1" applyBorder="1" applyAlignment="1">
      <alignment vertical="center"/>
    </xf>
    <xf numFmtId="43" fontId="5" fillId="0" borderId="1" xfId="0" applyNumberFormat="1" applyFont="1" applyBorder="1" applyAlignment="1">
      <alignment vertical="center"/>
    </xf>
    <xf numFmtId="1" fontId="5" fillId="0" borderId="1" xfId="0" applyNumberFormat="1" applyFont="1" applyBorder="1" applyAlignment="1">
      <alignment horizontal="center" vertical="center"/>
    </xf>
    <xf numFmtId="43" fontId="6" fillId="0" borderId="1" xfId="1" applyFont="1" applyBorder="1"/>
    <xf numFmtId="43" fontId="6" fillId="0" borderId="1" xfId="0" applyNumberFormat="1" applyFont="1" applyBorder="1"/>
    <xf numFmtId="43" fontId="6" fillId="0" borderId="1" xfId="1" applyFont="1" applyBorder="1" applyAlignment="1">
      <alignment vertical="center"/>
    </xf>
    <xf numFmtId="43" fontId="6" fillId="0" borderId="1" xfId="0" applyNumberFormat="1" applyFont="1" applyBorder="1" applyAlignment="1">
      <alignment vertical="center"/>
    </xf>
    <xf numFmtId="1" fontId="6" fillId="0" borderId="1" xfId="1" applyNumberFormat="1" applyFont="1" applyBorder="1" applyAlignment="1">
      <alignment horizontal="center" vertical="center"/>
    </xf>
    <xf numFmtId="49" fontId="1" fillId="0" borderId="1" xfId="0" applyNumberFormat="1" applyFont="1" applyBorder="1" applyAlignment="1">
      <alignment vertical="center" wrapText="1"/>
    </xf>
    <xf numFmtId="0" fontId="11" fillId="0" borderId="1" xfId="0" applyFont="1" applyBorder="1"/>
    <xf numFmtId="0" fontId="11" fillId="0" borderId="1" xfId="0" applyFont="1" applyBorder="1" applyAlignment="1">
      <alignment horizontal="center"/>
    </xf>
    <xf numFmtId="43" fontId="11" fillId="0" borderId="1" xfId="0" applyNumberFormat="1" applyFont="1" applyBorder="1"/>
    <xf numFmtId="43" fontId="13" fillId="0" borderId="1" xfId="0" applyNumberFormat="1" applyFont="1" applyBorder="1"/>
    <xf numFmtId="1" fontId="11" fillId="0" borderId="1" xfId="0" applyNumberFormat="1" applyFont="1" applyBorder="1" applyAlignment="1">
      <alignment horizontal="center"/>
    </xf>
    <xf numFmtId="49" fontId="11" fillId="0" borderId="1" xfId="0" applyNumberFormat="1" applyFont="1" applyBorder="1" applyAlignment="1">
      <alignment vertical="center" wrapText="1"/>
    </xf>
    <xf numFmtId="1" fontId="5" fillId="0" borderId="1" xfId="1" applyNumberFormat="1" applyFont="1" applyBorder="1" applyAlignment="1">
      <alignment horizontal="center" vertical="center"/>
    </xf>
    <xf numFmtId="43" fontId="1" fillId="0" borderId="0" xfId="1" applyFont="1"/>
    <xf numFmtId="43" fontId="1" fillId="0" borderId="0" xfId="0" applyNumberFormat="1" applyFont="1"/>
    <xf numFmtId="0" fontId="1" fillId="0" borderId="0" xfId="0" applyFont="1" applyFill="1" applyBorder="1"/>
    <xf numFmtId="0" fontId="11" fillId="0" borderId="0" xfId="0" applyFont="1"/>
    <xf numFmtId="43" fontId="11" fillId="0" borderId="0" xfId="1" applyFont="1"/>
    <xf numFmtId="0" fontId="9" fillId="3" borderId="1" xfId="0" applyFont="1" applyFill="1" applyBorder="1" applyAlignment="1">
      <alignment horizontal="center"/>
    </xf>
    <xf numFmtId="43" fontId="9" fillId="3" borderId="1" xfId="1" applyFont="1" applyFill="1" applyBorder="1"/>
    <xf numFmtId="14" fontId="9" fillId="3" borderId="1" xfId="0" applyNumberFormat="1" applyFont="1" applyFill="1" applyBorder="1" applyAlignment="1">
      <alignment horizontal="right"/>
    </xf>
    <xf numFmtId="1" fontId="9" fillId="3" borderId="1" xfId="0" applyNumberFormat="1" applyFont="1" applyFill="1" applyBorder="1" applyAlignment="1">
      <alignment horizontal="center"/>
    </xf>
    <xf numFmtId="0" fontId="9" fillId="3" borderId="1" xfId="0" applyFont="1" applyFill="1" applyBorder="1" applyAlignment="1">
      <alignment horizontal="center" vertical="center"/>
    </xf>
    <xf numFmtId="14" fontId="9" fillId="3" borderId="1" xfId="0" applyNumberFormat="1" applyFont="1" applyFill="1" applyBorder="1"/>
    <xf numFmtId="14" fontId="6" fillId="0" borderId="1" xfId="0" applyNumberFormat="1" applyFont="1" applyBorder="1"/>
    <xf numFmtId="43" fontId="1" fillId="0" borderId="0" xfId="1" applyFont="1" applyFill="1" applyBorder="1"/>
    <xf numFmtId="0" fontId="5" fillId="0" borderId="0" xfId="0" applyFont="1"/>
    <xf numFmtId="43" fontId="5" fillId="0" borderId="0" xfId="1" applyFont="1"/>
    <xf numFmtId="0" fontId="13" fillId="0" borderId="0" xfId="0" applyFont="1"/>
    <xf numFmtId="0" fontId="14" fillId="0" borderId="0" xfId="0" applyFont="1"/>
    <xf numFmtId="43" fontId="13" fillId="0" borderId="0" xfId="1" applyFont="1"/>
    <xf numFmtId="43" fontId="9" fillId="3" borderId="1" xfId="1" applyFont="1" applyFill="1" applyBorder="1" applyAlignment="1">
      <alignment horizontal="center" vertical="center"/>
    </xf>
    <xf numFmtId="14" fontId="9" fillId="3" borderId="1" xfId="0" applyNumberFormat="1" applyFont="1" applyFill="1" applyBorder="1" applyAlignment="1">
      <alignment horizontal="right" vertical="center"/>
    </xf>
    <xf numFmtId="0" fontId="14" fillId="0" borderId="0" xfId="0" applyFont="1" applyAlignment="1">
      <alignment horizontal="center"/>
    </xf>
    <xf numFmtId="49" fontId="5" fillId="0" borderId="0" xfId="0" applyNumberFormat="1" applyFont="1" applyAlignment="1">
      <alignment vertical="justify" wrapText="1"/>
    </xf>
    <xf numFmtId="49" fontId="4" fillId="2" borderId="1" xfId="0" applyNumberFormat="1" applyFont="1" applyFill="1" applyBorder="1" applyAlignment="1">
      <alignment horizontal="center" vertical="center" wrapText="1"/>
    </xf>
    <xf numFmtId="49" fontId="4" fillId="2" borderId="1" xfId="1" applyNumberFormat="1" applyFont="1" applyFill="1" applyBorder="1" applyAlignment="1">
      <alignment horizontal="center" vertical="center" wrapText="1"/>
    </xf>
    <xf numFmtId="49" fontId="5" fillId="0" borderId="1" xfId="0" applyNumberFormat="1" applyFont="1" applyBorder="1" applyAlignment="1">
      <alignment vertical="justify" wrapText="1"/>
    </xf>
    <xf numFmtId="0" fontId="1" fillId="0" borderId="1" xfId="0" applyFont="1" applyBorder="1" applyAlignment="1">
      <alignment vertical="center" wrapText="1"/>
    </xf>
    <xf numFmtId="49" fontId="6" fillId="0" borderId="1" xfId="0" applyNumberFormat="1" applyFont="1" applyBorder="1" applyAlignment="1">
      <alignment vertical="justify" wrapText="1"/>
    </xf>
    <xf numFmtId="43" fontId="16" fillId="0" borderId="0" xfId="1" applyFont="1"/>
    <xf numFmtId="0" fontId="15" fillId="0" borderId="0" xfId="0" applyFont="1" applyAlignment="1">
      <alignment horizontal="center"/>
    </xf>
    <xf numFmtId="0" fontId="11" fillId="0" borderId="0" xfId="0" applyFont="1" applyAlignment="1">
      <alignment horizontal="center"/>
    </xf>
    <xf numFmtId="0" fontId="1" fillId="0" borderId="2" xfId="0" applyFont="1" applyBorder="1" applyAlignment="1">
      <alignment horizontal="center"/>
    </xf>
    <xf numFmtId="49" fontId="12" fillId="5" borderId="1" xfId="0" applyNumberFormat="1" applyFont="1" applyFill="1" applyBorder="1" applyAlignment="1">
      <alignment horizontal="center" vertical="center" wrapText="1"/>
    </xf>
    <xf numFmtId="1" fontId="12" fillId="5" borderId="3" xfId="0" applyNumberFormat="1" applyFont="1" applyFill="1" applyBorder="1" applyAlignment="1">
      <alignment horizontal="center" vertical="center" wrapText="1"/>
    </xf>
    <xf numFmtId="1" fontId="12" fillId="5" borderId="4" xfId="0" applyNumberFormat="1" applyFont="1" applyFill="1" applyBorder="1" applyAlignment="1">
      <alignment horizontal="center" vertical="center" wrapText="1"/>
    </xf>
    <xf numFmtId="0" fontId="5" fillId="0" borderId="1" xfId="0" applyFont="1" applyBorder="1" applyAlignment="1">
      <alignment horizontal="left" vertical="center"/>
    </xf>
    <xf numFmtId="49" fontId="12" fillId="5" borderId="1" xfId="0" applyNumberFormat="1" applyFont="1" applyFill="1"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ECA6-15EB-401E-A80F-6F067F62F7F2}">
  <sheetPr>
    <tabColor rgb="FFFF0000"/>
  </sheetPr>
  <dimension ref="A1:K62"/>
  <sheetViews>
    <sheetView workbookViewId="0">
      <selection activeCell="M12" sqref="M12"/>
    </sheetView>
  </sheetViews>
  <sheetFormatPr defaultRowHeight="15" x14ac:dyDescent="0.25"/>
  <cols>
    <col min="1" max="1" width="5.140625" customWidth="1"/>
    <col min="2" max="2" width="14.42578125" customWidth="1"/>
    <col min="3" max="3" width="11.140625" customWidth="1"/>
    <col min="4" max="4" width="15.42578125" customWidth="1"/>
    <col min="5" max="5" width="13.7109375" customWidth="1"/>
    <col min="6" max="6" width="22.28515625" customWidth="1"/>
    <col min="7" max="9" width="11.42578125" customWidth="1"/>
    <col min="10" max="10" width="12.140625" customWidth="1"/>
    <col min="11" max="11" width="31" customWidth="1"/>
    <col min="12" max="12" width="14" customWidth="1"/>
    <col min="13" max="13" width="11.28515625" customWidth="1"/>
    <col min="14" max="14" width="8.42578125" customWidth="1"/>
    <col min="15" max="15" width="5.85546875" customWidth="1"/>
    <col min="16" max="16" width="12.42578125" customWidth="1"/>
  </cols>
  <sheetData>
    <row r="1" spans="1:11" ht="25.5" x14ac:dyDescent="0.25">
      <c r="A1" s="8" t="s">
        <v>0</v>
      </c>
      <c r="B1" s="8" t="s">
        <v>1</v>
      </c>
      <c r="C1" s="8" t="s">
        <v>25</v>
      </c>
      <c r="D1" s="8" t="s">
        <v>78</v>
      </c>
      <c r="E1" s="22" t="s">
        <v>100</v>
      </c>
      <c r="F1" s="22" t="s">
        <v>159</v>
      </c>
      <c r="G1" s="22" t="s">
        <v>119</v>
      </c>
      <c r="H1" s="22" t="s">
        <v>109</v>
      </c>
      <c r="I1" s="22" t="s">
        <v>116</v>
      </c>
      <c r="J1" s="22" t="s">
        <v>115</v>
      </c>
      <c r="K1" s="8" t="s">
        <v>86</v>
      </c>
    </row>
    <row r="2" spans="1:11" x14ac:dyDescent="0.25">
      <c r="A2" s="16">
        <v>1</v>
      </c>
      <c r="B2" s="15" t="s">
        <v>28</v>
      </c>
      <c r="C2" s="15">
        <v>80031688</v>
      </c>
      <c r="D2" s="16" t="s">
        <v>27</v>
      </c>
      <c r="E2" s="33" t="s">
        <v>90</v>
      </c>
      <c r="F2" s="48">
        <v>250000</v>
      </c>
      <c r="G2" s="21" t="s">
        <v>111</v>
      </c>
      <c r="H2" s="41">
        <v>45964</v>
      </c>
      <c r="I2" s="41" t="s">
        <v>117</v>
      </c>
      <c r="J2" s="33">
        <v>5209009001</v>
      </c>
      <c r="K2" s="21"/>
    </row>
    <row r="3" spans="1:11" x14ac:dyDescent="0.25">
      <c r="A3" s="16">
        <f>A2+1</f>
        <v>2</v>
      </c>
      <c r="B3" s="15" t="s">
        <v>30</v>
      </c>
      <c r="C3" s="15">
        <v>80807217</v>
      </c>
      <c r="D3" s="16" t="s">
        <v>27</v>
      </c>
      <c r="E3" s="33" t="s">
        <v>90</v>
      </c>
      <c r="F3" s="48">
        <v>250000</v>
      </c>
      <c r="G3" s="33" t="s">
        <v>111</v>
      </c>
      <c r="H3" s="41">
        <v>45987</v>
      </c>
      <c r="I3" s="41" t="s">
        <v>117</v>
      </c>
      <c r="J3" s="33">
        <v>5209009001</v>
      </c>
      <c r="K3" s="21"/>
    </row>
    <row r="4" spans="1:11" x14ac:dyDescent="0.25">
      <c r="A4" s="16">
        <f t="shared" ref="A4:A56" si="0">A3+1</f>
        <v>3</v>
      </c>
      <c r="B4" s="15" t="s">
        <v>32</v>
      </c>
      <c r="C4" s="15">
        <v>86462001</v>
      </c>
      <c r="D4" s="16" t="s">
        <v>27</v>
      </c>
      <c r="E4" s="33" t="s">
        <v>90</v>
      </c>
      <c r="F4" s="48">
        <v>250000</v>
      </c>
      <c r="G4" s="33" t="s">
        <v>112</v>
      </c>
      <c r="H4" s="41">
        <v>45985</v>
      </c>
      <c r="I4" s="41"/>
      <c r="J4" s="41"/>
      <c r="K4" s="21"/>
    </row>
    <row r="5" spans="1:11" x14ac:dyDescent="0.25">
      <c r="A5" s="16">
        <f t="shared" si="0"/>
        <v>4</v>
      </c>
      <c r="B5" s="15" t="s">
        <v>34</v>
      </c>
      <c r="C5" s="15">
        <v>88017789</v>
      </c>
      <c r="D5" s="16" t="s">
        <v>27</v>
      </c>
      <c r="E5" s="33" t="s">
        <v>90</v>
      </c>
      <c r="F5" s="48">
        <v>250000</v>
      </c>
      <c r="G5" s="21" t="s">
        <v>111</v>
      </c>
      <c r="H5" s="41">
        <v>45991</v>
      </c>
      <c r="I5" s="41" t="s">
        <v>117</v>
      </c>
      <c r="J5" s="33">
        <v>5209009001</v>
      </c>
      <c r="K5" s="49"/>
    </row>
    <row r="6" spans="1:11" x14ac:dyDescent="0.25">
      <c r="A6" s="16">
        <f t="shared" si="0"/>
        <v>5</v>
      </c>
      <c r="B6" s="15" t="s">
        <v>36</v>
      </c>
      <c r="C6" s="15">
        <v>88080268</v>
      </c>
      <c r="D6" s="16" t="s">
        <v>27</v>
      </c>
      <c r="E6" s="33" t="s">
        <v>91</v>
      </c>
      <c r="F6" s="33"/>
      <c r="G6" s="33"/>
      <c r="H6" s="33"/>
      <c r="I6" s="33"/>
      <c r="J6" s="33"/>
      <c r="K6" s="49"/>
    </row>
    <row r="7" spans="1:11" x14ac:dyDescent="0.25">
      <c r="A7" s="16">
        <f t="shared" si="0"/>
        <v>6</v>
      </c>
      <c r="B7" s="15" t="s">
        <v>42</v>
      </c>
      <c r="C7" s="15">
        <v>88719105</v>
      </c>
      <c r="D7" s="16" t="s">
        <v>27</v>
      </c>
      <c r="E7" s="33" t="s">
        <v>90</v>
      </c>
      <c r="F7" s="48">
        <v>250000</v>
      </c>
      <c r="G7" s="33" t="s">
        <v>111</v>
      </c>
      <c r="H7" s="41">
        <v>45964</v>
      </c>
      <c r="I7" s="41" t="s">
        <v>117</v>
      </c>
      <c r="J7" s="33">
        <v>5209009001</v>
      </c>
      <c r="K7" s="49"/>
    </row>
    <row r="8" spans="1:11" x14ac:dyDescent="0.25">
      <c r="A8" s="16">
        <f t="shared" si="0"/>
        <v>7</v>
      </c>
      <c r="B8" s="15" t="s">
        <v>46</v>
      </c>
      <c r="C8" s="15">
        <v>89558808</v>
      </c>
      <c r="D8" s="16" t="s">
        <v>27</v>
      </c>
      <c r="E8" s="33" t="s">
        <v>91</v>
      </c>
      <c r="F8" s="33"/>
      <c r="G8" s="33"/>
      <c r="H8" s="33"/>
      <c r="I8" s="33"/>
      <c r="J8" s="33"/>
      <c r="K8" s="49"/>
    </row>
    <row r="9" spans="1:11" x14ac:dyDescent="0.25">
      <c r="A9" s="16">
        <f t="shared" si="0"/>
        <v>8</v>
      </c>
      <c r="B9" s="15" t="s">
        <v>51</v>
      </c>
      <c r="C9" s="15">
        <v>91914670</v>
      </c>
      <c r="D9" s="16" t="s">
        <v>27</v>
      </c>
      <c r="E9" s="33" t="s">
        <v>90</v>
      </c>
      <c r="F9" s="48">
        <v>250000</v>
      </c>
      <c r="G9" s="33" t="s">
        <v>111</v>
      </c>
      <c r="H9" s="41">
        <v>45966</v>
      </c>
      <c r="I9" s="41" t="s">
        <v>117</v>
      </c>
      <c r="J9" s="33">
        <v>5209009001</v>
      </c>
      <c r="K9" s="49"/>
    </row>
    <row r="10" spans="1:11" x14ac:dyDescent="0.25">
      <c r="A10" s="16">
        <f t="shared" si="0"/>
        <v>9</v>
      </c>
      <c r="B10" s="15" t="s">
        <v>53</v>
      </c>
      <c r="C10" s="15">
        <v>94044104</v>
      </c>
      <c r="D10" s="16" t="s">
        <v>27</v>
      </c>
      <c r="E10" s="33" t="s">
        <v>90</v>
      </c>
      <c r="F10" s="48">
        <v>250000</v>
      </c>
      <c r="G10" s="33" t="s">
        <v>112</v>
      </c>
      <c r="H10" s="41">
        <v>45964</v>
      </c>
      <c r="I10" s="41"/>
      <c r="J10" s="33"/>
      <c r="K10" s="49"/>
    </row>
    <row r="11" spans="1:11" x14ac:dyDescent="0.25">
      <c r="A11" s="16">
        <f t="shared" si="0"/>
        <v>10</v>
      </c>
      <c r="B11" s="15" t="s">
        <v>57</v>
      </c>
      <c r="C11" s="15">
        <v>94289442</v>
      </c>
      <c r="D11" s="16" t="s">
        <v>27</v>
      </c>
      <c r="E11" s="33" t="s">
        <v>91</v>
      </c>
      <c r="F11" s="33"/>
      <c r="G11" s="33"/>
      <c r="H11" s="33"/>
      <c r="I11" s="33"/>
      <c r="J11" s="33"/>
      <c r="K11" s="49"/>
    </row>
    <row r="12" spans="1:11" x14ac:dyDescent="0.25">
      <c r="A12" s="16">
        <f t="shared" si="0"/>
        <v>11</v>
      </c>
      <c r="B12" s="15" t="s">
        <v>63</v>
      </c>
      <c r="C12" s="15">
        <v>99020006</v>
      </c>
      <c r="D12" s="16" t="s">
        <v>27</v>
      </c>
      <c r="E12" s="33" t="s">
        <v>90</v>
      </c>
      <c r="F12" s="48">
        <v>250000</v>
      </c>
      <c r="G12" s="33" t="s">
        <v>111</v>
      </c>
      <c r="H12" s="41">
        <v>45971</v>
      </c>
      <c r="I12" s="41" t="s">
        <v>117</v>
      </c>
      <c r="J12" s="33">
        <v>5209009001</v>
      </c>
      <c r="K12" s="49"/>
    </row>
    <row r="13" spans="1:11" x14ac:dyDescent="0.25">
      <c r="A13" s="16">
        <f t="shared" si="0"/>
        <v>12</v>
      </c>
      <c r="B13" s="15" t="s">
        <v>64</v>
      </c>
      <c r="C13" s="15">
        <v>99040198</v>
      </c>
      <c r="D13" s="16" t="s">
        <v>27</v>
      </c>
      <c r="E13" s="33" t="s">
        <v>90</v>
      </c>
      <c r="F13" s="48">
        <v>250000</v>
      </c>
      <c r="G13" s="33" t="s">
        <v>111</v>
      </c>
      <c r="H13" s="41">
        <v>45964</v>
      </c>
      <c r="I13" s="41" t="s">
        <v>117</v>
      </c>
      <c r="J13" s="33">
        <v>5209009001</v>
      </c>
      <c r="K13" s="49"/>
    </row>
    <row r="14" spans="1:11" x14ac:dyDescent="0.25">
      <c r="A14" s="16">
        <f t="shared" si="0"/>
        <v>13</v>
      </c>
      <c r="B14" s="15" t="s">
        <v>66</v>
      </c>
      <c r="C14" s="15">
        <v>99165428</v>
      </c>
      <c r="D14" s="16" t="s">
        <v>27</v>
      </c>
      <c r="E14" s="33" t="s">
        <v>90</v>
      </c>
      <c r="F14" s="48">
        <v>250000</v>
      </c>
      <c r="G14" s="33" t="s">
        <v>111</v>
      </c>
      <c r="H14" s="41">
        <v>45964</v>
      </c>
      <c r="I14" s="41" t="s">
        <v>117</v>
      </c>
      <c r="J14" s="33">
        <v>5209009001</v>
      </c>
      <c r="K14" s="49"/>
    </row>
    <row r="15" spans="1:11" x14ac:dyDescent="0.25">
      <c r="A15" s="16">
        <f t="shared" si="0"/>
        <v>14</v>
      </c>
      <c r="B15" s="15" t="s">
        <v>67</v>
      </c>
      <c r="C15" s="15">
        <v>99182500</v>
      </c>
      <c r="D15" s="16" t="s">
        <v>27</v>
      </c>
      <c r="E15" s="33" t="s">
        <v>90</v>
      </c>
      <c r="F15" s="48">
        <v>250000</v>
      </c>
      <c r="G15" s="33" t="s">
        <v>111</v>
      </c>
      <c r="H15" s="41">
        <v>45964</v>
      </c>
      <c r="I15" s="41" t="s">
        <v>117</v>
      </c>
      <c r="J15" s="33">
        <v>5209009001</v>
      </c>
      <c r="K15" s="49"/>
    </row>
    <row r="16" spans="1:11" x14ac:dyDescent="0.25">
      <c r="A16" s="16">
        <f t="shared" si="0"/>
        <v>15</v>
      </c>
      <c r="B16" s="15" t="s">
        <v>68</v>
      </c>
      <c r="C16" s="15">
        <v>99193880</v>
      </c>
      <c r="D16" s="16" t="s">
        <v>27</v>
      </c>
      <c r="E16" s="33" t="s">
        <v>90</v>
      </c>
      <c r="F16" s="48">
        <v>250000</v>
      </c>
      <c r="G16" s="33" t="s">
        <v>111</v>
      </c>
      <c r="H16" s="41">
        <v>45966</v>
      </c>
      <c r="I16" s="41" t="s">
        <v>117</v>
      </c>
      <c r="J16" s="33">
        <v>5209009001</v>
      </c>
      <c r="K16" s="49"/>
    </row>
    <row r="17" spans="1:11" x14ac:dyDescent="0.25">
      <c r="A17" s="16">
        <f t="shared" si="0"/>
        <v>16</v>
      </c>
      <c r="B17" s="15" t="s">
        <v>69</v>
      </c>
      <c r="C17" s="15">
        <v>99293409</v>
      </c>
      <c r="D17" s="16" t="s">
        <v>27</v>
      </c>
      <c r="E17" s="33" t="s">
        <v>90</v>
      </c>
      <c r="F17" s="48">
        <v>250000</v>
      </c>
      <c r="G17" s="33" t="s">
        <v>111</v>
      </c>
      <c r="H17" s="41">
        <v>45964</v>
      </c>
      <c r="I17" s="41" t="s">
        <v>117</v>
      </c>
      <c r="J17" s="33">
        <v>5209009001</v>
      </c>
      <c r="K17" s="49"/>
    </row>
    <row r="18" spans="1:11" ht="25.5" x14ac:dyDescent="0.25">
      <c r="A18" s="16">
        <f t="shared" si="0"/>
        <v>17</v>
      </c>
      <c r="B18" s="15" t="s">
        <v>73</v>
      </c>
      <c r="C18" s="15">
        <v>99756022</v>
      </c>
      <c r="D18" s="16" t="s">
        <v>27</v>
      </c>
      <c r="E18" s="33" t="s">
        <v>90</v>
      </c>
      <c r="F18" s="48">
        <v>250000</v>
      </c>
      <c r="G18" s="33" t="s">
        <v>114</v>
      </c>
      <c r="H18" s="41">
        <v>45966</v>
      </c>
      <c r="I18" s="41" t="s">
        <v>117</v>
      </c>
      <c r="J18" s="33">
        <v>5209009001</v>
      </c>
      <c r="K18" s="34" t="s">
        <v>96</v>
      </c>
    </row>
    <row r="19" spans="1:11" ht="51" x14ac:dyDescent="0.25">
      <c r="A19" s="16">
        <f t="shared" si="0"/>
        <v>18</v>
      </c>
      <c r="B19" s="15" t="s">
        <v>76</v>
      </c>
      <c r="C19" s="15">
        <v>99901839</v>
      </c>
      <c r="D19" s="16" t="s">
        <v>27</v>
      </c>
      <c r="E19" s="33" t="s">
        <v>90</v>
      </c>
      <c r="F19" s="48">
        <v>250000</v>
      </c>
      <c r="G19" s="33" t="s">
        <v>111</v>
      </c>
      <c r="H19" s="41">
        <v>45996</v>
      </c>
      <c r="I19" s="40" t="s">
        <v>117</v>
      </c>
      <c r="J19" s="33">
        <v>5209009001</v>
      </c>
      <c r="K19" s="34" t="s">
        <v>224</v>
      </c>
    </row>
    <row r="20" spans="1:11" ht="25.5" x14ac:dyDescent="0.25">
      <c r="A20" s="16">
        <f t="shared" si="0"/>
        <v>19</v>
      </c>
      <c r="B20" s="35" t="s">
        <v>70</v>
      </c>
      <c r="C20" s="36">
        <v>99294099</v>
      </c>
      <c r="D20" s="19" t="s">
        <v>27</v>
      </c>
      <c r="E20" s="33" t="s">
        <v>92</v>
      </c>
      <c r="F20" s="33"/>
      <c r="G20" s="33"/>
      <c r="H20" s="33"/>
      <c r="I20" s="33"/>
      <c r="J20" s="33"/>
      <c r="K20" s="34" t="s">
        <v>107</v>
      </c>
    </row>
    <row r="21" spans="1:11" x14ac:dyDescent="0.25">
      <c r="A21" s="16">
        <f t="shared" si="0"/>
        <v>20</v>
      </c>
      <c r="B21" s="15" t="s">
        <v>26</v>
      </c>
      <c r="C21" s="15">
        <v>80000544</v>
      </c>
      <c r="D21" s="16" t="s">
        <v>27</v>
      </c>
      <c r="E21" s="33" t="s">
        <v>90</v>
      </c>
      <c r="F21" s="48">
        <v>250000</v>
      </c>
      <c r="G21" s="33" t="s">
        <v>111</v>
      </c>
      <c r="H21" s="41">
        <v>45978</v>
      </c>
      <c r="I21" s="41" t="s">
        <v>117</v>
      </c>
      <c r="J21" s="33">
        <v>5209009001</v>
      </c>
      <c r="K21" s="21"/>
    </row>
    <row r="22" spans="1:11" x14ac:dyDescent="0.25">
      <c r="A22" s="16">
        <f t="shared" si="0"/>
        <v>21</v>
      </c>
      <c r="B22" s="15" t="s">
        <v>33</v>
      </c>
      <c r="C22" s="15">
        <v>86545719</v>
      </c>
      <c r="D22" s="16" t="s">
        <v>27</v>
      </c>
      <c r="E22" s="33" t="s">
        <v>90</v>
      </c>
      <c r="F22" s="48">
        <v>250000</v>
      </c>
      <c r="G22" s="33" t="s">
        <v>111</v>
      </c>
      <c r="H22" s="41">
        <v>45971</v>
      </c>
      <c r="I22" s="41" t="s">
        <v>117</v>
      </c>
      <c r="J22" s="33">
        <v>5209009001</v>
      </c>
      <c r="K22" s="21"/>
    </row>
    <row r="23" spans="1:11" x14ac:dyDescent="0.25">
      <c r="A23" s="16">
        <f t="shared" si="0"/>
        <v>22</v>
      </c>
      <c r="B23" s="15" t="s">
        <v>37</v>
      </c>
      <c r="C23" s="15">
        <v>88089842</v>
      </c>
      <c r="D23" s="16" t="s">
        <v>27</v>
      </c>
      <c r="E23" s="33" t="s">
        <v>90</v>
      </c>
      <c r="F23" s="48">
        <v>250000</v>
      </c>
      <c r="G23" s="33" t="s">
        <v>111</v>
      </c>
      <c r="H23" s="41">
        <v>45966</v>
      </c>
      <c r="I23" s="41" t="s">
        <v>117</v>
      </c>
      <c r="J23" s="33">
        <v>5209009001</v>
      </c>
      <c r="K23" s="21"/>
    </row>
    <row r="24" spans="1:11" x14ac:dyDescent="0.25">
      <c r="A24" s="16">
        <f t="shared" si="0"/>
        <v>23</v>
      </c>
      <c r="B24" s="15" t="s">
        <v>61</v>
      </c>
      <c r="C24" s="15">
        <v>88207009</v>
      </c>
      <c r="D24" s="16" t="s">
        <v>27</v>
      </c>
      <c r="E24" s="33" t="s">
        <v>90</v>
      </c>
      <c r="F24" s="48">
        <v>250000</v>
      </c>
      <c r="G24" s="33" t="s">
        <v>111</v>
      </c>
      <c r="H24" s="41">
        <v>45971</v>
      </c>
      <c r="I24" s="41" t="s">
        <v>117</v>
      </c>
      <c r="J24" s="33">
        <v>5209009001</v>
      </c>
      <c r="K24" s="21"/>
    </row>
    <row r="25" spans="1:11" x14ac:dyDescent="0.25">
      <c r="A25" s="16">
        <f t="shared" si="0"/>
        <v>24</v>
      </c>
      <c r="B25" s="15" t="s">
        <v>45</v>
      </c>
      <c r="C25" s="15">
        <v>89119452</v>
      </c>
      <c r="D25" s="16" t="s">
        <v>27</v>
      </c>
      <c r="E25" s="33" t="s">
        <v>90</v>
      </c>
      <c r="F25" s="48">
        <v>250000</v>
      </c>
      <c r="G25" s="33" t="s">
        <v>111</v>
      </c>
      <c r="H25" s="41">
        <v>45966</v>
      </c>
      <c r="I25" s="41" t="s">
        <v>117</v>
      </c>
      <c r="J25" s="33">
        <v>5209009001</v>
      </c>
      <c r="K25" s="21"/>
    </row>
    <row r="26" spans="1:11" x14ac:dyDescent="0.25">
      <c r="A26" s="16">
        <f t="shared" si="0"/>
        <v>25</v>
      </c>
      <c r="B26" s="15" t="s">
        <v>47</v>
      </c>
      <c r="C26" s="15">
        <v>89875400</v>
      </c>
      <c r="D26" s="16" t="s">
        <v>27</v>
      </c>
      <c r="E26" s="33" t="s">
        <v>90</v>
      </c>
      <c r="F26" s="48">
        <v>250000</v>
      </c>
      <c r="G26" s="33" t="s">
        <v>111</v>
      </c>
      <c r="H26" s="41">
        <v>45967</v>
      </c>
      <c r="I26" s="41" t="s">
        <v>117</v>
      </c>
      <c r="J26" s="33">
        <v>5209009001</v>
      </c>
      <c r="K26" s="21"/>
    </row>
    <row r="27" spans="1:11" x14ac:dyDescent="0.25">
      <c r="A27" s="16">
        <f t="shared" si="0"/>
        <v>26</v>
      </c>
      <c r="B27" s="15" t="s">
        <v>52</v>
      </c>
      <c r="C27" s="15">
        <v>91919977</v>
      </c>
      <c r="D27" s="16" t="s">
        <v>27</v>
      </c>
      <c r="E27" s="33" t="s">
        <v>90</v>
      </c>
      <c r="F27" s="33"/>
      <c r="G27" s="33"/>
      <c r="H27" s="33"/>
      <c r="I27" s="33"/>
      <c r="J27" s="33"/>
      <c r="K27" s="21"/>
    </row>
    <row r="28" spans="1:11" x14ac:dyDescent="0.25">
      <c r="A28" s="16">
        <f t="shared" si="0"/>
        <v>27</v>
      </c>
      <c r="B28" s="15" t="s">
        <v>54</v>
      </c>
      <c r="C28" s="15">
        <v>94079809</v>
      </c>
      <c r="D28" s="16" t="s">
        <v>27</v>
      </c>
      <c r="E28" s="33" t="s">
        <v>90</v>
      </c>
      <c r="F28" s="48">
        <v>250000</v>
      </c>
      <c r="G28" s="33" t="s">
        <v>111</v>
      </c>
      <c r="H28" s="41">
        <v>45966</v>
      </c>
      <c r="I28" s="41" t="s">
        <v>117</v>
      </c>
      <c r="J28" s="33">
        <v>5209009001</v>
      </c>
      <c r="K28" s="21"/>
    </row>
    <row r="29" spans="1:11" ht="63.75" x14ac:dyDescent="0.25">
      <c r="A29" s="16">
        <f t="shared" si="0"/>
        <v>28</v>
      </c>
      <c r="B29" s="37" t="s">
        <v>55</v>
      </c>
      <c r="C29" s="37">
        <v>94109575</v>
      </c>
      <c r="D29" s="19" t="s">
        <v>27</v>
      </c>
      <c r="E29" s="33" t="s">
        <v>90</v>
      </c>
      <c r="F29" s="33"/>
      <c r="G29" s="33"/>
      <c r="H29" s="33"/>
      <c r="I29" s="33"/>
      <c r="J29" s="33"/>
      <c r="K29" s="34" t="s">
        <v>193</v>
      </c>
    </row>
    <row r="30" spans="1:11" x14ac:dyDescent="0.25">
      <c r="A30" s="16">
        <f t="shared" si="0"/>
        <v>29</v>
      </c>
      <c r="B30" s="15" t="s">
        <v>59</v>
      </c>
      <c r="C30" s="15">
        <v>95559758</v>
      </c>
      <c r="D30" s="16" t="s">
        <v>27</v>
      </c>
      <c r="E30" s="33" t="s">
        <v>90</v>
      </c>
      <c r="F30" s="48">
        <v>250000</v>
      </c>
      <c r="G30" s="33" t="s">
        <v>111</v>
      </c>
      <c r="H30" s="41">
        <v>45966</v>
      </c>
      <c r="I30" s="41" t="s">
        <v>117</v>
      </c>
      <c r="J30" s="33">
        <v>5209009001</v>
      </c>
      <c r="K30" s="21"/>
    </row>
    <row r="31" spans="1:11" x14ac:dyDescent="0.25">
      <c r="A31" s="16">
        <f t="shared" si="0"/>
        <v>30</v>
      </c>
      <c r="B31" s="15" t="s">
        <v>62</v>
      </c>
      <c r="C31" s="15">
        <v>99007201</v>
      </c>
      <c r="D31" s="16" t="s">
        <v>27</v>
      </c>
      <c r="E31" s="33" t="s">
        <v>90</v>
      </c>
      <c r="F31" s="48">
        <v>250000</v>
      </c>
      <c r="G31" s="33" t="s">
        <v>111</v>
      </c>
      <c r="H31" s="41">
        <v>45966</v>
      </c>
      <c r="I31" s="41" t="s">
        <v>117</v>
      </c>
      <c r="J31" s="33">
        <v>5209009001</v>
      </c>
      <c r="K31" s="21"/>
    </row>
    <row r="32" spans="1:11" ht="25.5" x14ac:dyDescent="0.25">
      <c r="A32" s="16">
        <f t="shared" si="0"/>
        <v>31</v>
      </c>
      <c r="B32" s="15" t="s">
        <v>71</v>
      </c>
      <c r="C32" s="15">
        <v>99442127</v>
      </c>
      <c r="D32" s="16" t="s">
        <v>27</v>
      </c>
      <c r="E32" s="33" t="s">
        <v>90</v>
      </c>
      <c r="F32" s="48">
        <v>250000</v>
      </c>
      <c r="G32" s="33" t="s">
        <v>111</v>
      </c>
      <c r="H32" s="39">
        <v>45946</v>
      </c>
      <c r="I32" s="20" t="s">
        <v>118</v>
      </c>
      <c r="J32" s="21">
        <v>5027586600</v>
      </c>
      <c r="K32" s="34" t="s">
        <v>160</v>
      </c>
    </row>
    <row r="33" spans="1:11" x14ac:dyDescent="0.25">
      <c r="A33" s="16">
        <f t="shared" si="0"/>
        <v>32</v>
      </c>
      <c r="B33" s="15" t="s">
        <v>72</v>
      </c>
      <c r="C33" s="15">
        <v>99693685</v>
      </c>
      <c r="D33" s="16" t="s">
        <v>27</v>
      </c>
      <c r="E33" s="33" t="s">
        <v>91</v>
      </c>
      <c r="F33" s="33"/>
      <c r="G33" s="33"/>
      <c r="H33" s="33"/>
      <c r="I33" s="33"/>
      <c r="J33" s="33"/>
      <c r="K33" s="21"/>
    </row>
    <row r="34" spans="1:11" x14ac:dyDescent="0.25">
      <c r="A34" s="16">
        <f t="shared" si="0"/>
        <v>33</v>
      </c>
      <c r="B34" s="15" t="s">
        <v>75</v>
      </c>
      <c r="C34" s="15">
        <v>99845058</v>
      </c>
      <c r="D34" s="16" t="s">
        <v>27</v>
      </c>
      <c r="E34" s="33" t="s">
        <v>90</v>
      </c>
      <c r="F34" s="48">
        <v>250000</v>
      </c>
      <c r="G34" s="33" t="s">
        <v>111</v>
      </c>
      <c r="H34" s="41">
        <v>45966</v>
      </c>
      <c r="I34" s="41" t="s">
        <v>117</v>
      </c>
      <c r="J34" s="33">
        <v>5209009001</v>
      </c>
      <c r="K34" s="21"/>
    </row>
    <row r="35" spans="1:11" x14ac:dyDescent="0.25">
      <c r="A35" s="16">
        <f t="shared" si="0"/>
        <v>34</v>
      </c>
      <c r="B35" s="15" t="s">
        <v>29</v>
      </c>
      <c r="C35" s="15">
        <v>80060588</v>
      </c>
      <c r="D35" s="16" t="s">
        <v>27</v>
      </c>
      <c r="E35" s="33" t="s">
        <v>90</v>
      </c>
      <c r="F35" s="48">
        <v>250000</v>
      </c>
      <c r="G35" s="33" t="s">
        <v>111</v>
      </c>
      <c r="H35" s="41">
        <v>45992</v>
      </c>
      <c r="I35" s="40" t="s">
        <v>117</v>
      </c>
      <c r="J35" s="33">
        <v>5209009001</v>
      </c>
      <c r="K35" s="49"/>
    </row>
    <row r="36" spans="1:11" ht="51" x14ac:dyDescent="0.25">
      <c r="A36" s="16">
        <f t="shared" si="0"/>
        <v>35</v>
      </c>
      <c r="B36" s="35" t="s">
        <v>65</v>
      </c>
      <c r="C36" s="36">
        <v>99140822</v>
      </c>
      <c r="D36" s="19" t="s">
        <v>27</v>
      </c>
      <c r="E36" s="33" t="s">
        <v>90</v>
      </c>
      <c r="F36" s="48">
        <v>250000</v>
      </c>
      <c r="G36" s="33" t="s">
        <v>111</v>
      </c>
      <c r="H36" s="41">
        <v>45966</v>
      </c>
      <c r="I36" s="41" t="s">
        <v>117</v>
      </c>
      <c r="J36" s="33">
        <v>5209009001</v>
      </c>
      <c r="K36" s="34" t="s">
        <v>108</v>
      </c>
    </row>
    <row r="37" spans="1:11" ht="63.75" x14ac:dyDescent="0.25">
      <c r="A37" s="16">
        <f t="shared" si="0"/>
        <v>36</v>
      </c>
      <c r="B37" s="37" t="s">
        <v>77</v>
      </c>
      <c r="C37" s="37"/>
      <c r="D37" s="19" t="s">
        <v>27</v>
      </c>
      <c r="E37" s="33" t="s">
        <v>91</v>
      </c>
      <c r="F37" s="33"/>
      <c r="G37" s="33"/>
      <c r="H37" s="33"/>
      <c r="I37" s="33"/>
      <c r="J37" s="33"/>
      <c r="K37" s="34" t="s">
        <v>101</v>
      </c>
    </row>
    <row r="38" spans="1:11" s="7" customFormat="1" x14ac:dyDescent="0.25">
      <c r="A38" s="16">
        <f t="shared" si="0"/>
        <v>37</v>
      </c>
      <c r="B38" s="15" t="s">
        <v>58</v>
      </c>
      <c r="C38" s="15">
        <v>95095033</v>
      </c>
      <c r="D38" s="16" t="s">
        <v>27</v>
      </c>
      <c r="E38" s="33" t="s">
        <v>92</v>
      </c>
      <c r="F38" s="48"/>
      <c r="G38" s="33"/>
      <c r="H38" s="33"/>
      <c r="I38" s="33"/>
      <c r="J38" s="33"/>
      <c r="K38" s="49" t="s">
        <v>88</v>
      </c>
    </row>
    <row r="39" spans="1:11" s="7" customFormat="1" x14ac:dyDescent="0.25">
      <c r="A39" s="16">
        <f t="shared" si="0"/>
        <v>38</v>
      </c>
      <c r="B39" s="15" t="s">
        <v>60</v>
      </c>
      <c r="C39" s="15">
        <v>96696550</v>
      </c>
      <c r="D39" s="16" t="s">
        <v>27</v>
      </c>
      <c r="E39" s="33" t="s">
        <v>92</v>
      </c>
      <c r="F39" s="48"/>
      <c r="G39" s="33"/>
      <c r="H39" s="33"/>
      <c r="I39" s="33"/>
      <c r="J39" s="33"/>
      <c r="K39" s="49" t="s">
        <v>87</v>
      </c>
    </row>
    <row r="40" spans="1:11" s="7" customFormat="1" x14ac:dyDescent="0.25">
      <c r="A40" s="16">
        <f t="shared" si="0"/>
        <v>39</v>
      </c>
      <c r="B40" s="37" t="s">
        <v>44</v>
      </c>
      <c r="C40" s="37">
        <v>89099466</v>
      </c>
      <c r="D40" s="19" t="s">
        <v>27</v>
      </c>
      <c r="E40" s="33" t="s">
        <v>90</v>
      </c>
      <c r="F40" s="48">
        <v>500000</v>
      </c>
      <c r="G40" s="33" t="s">
        <v>111</v>
      </c>
      <c r="H40" s="41">
        <v>45989</v>
      </c>
      <c r="I40" s="40" t="s">
        <v>118</v>
      </c>
      <c r="J40" s="33">
        <v>5027586600</v>
      </c>
      <c r="K40" s="49"/>
    </row>
    <row r="41" spans="1:11" s="7" customFormat="1" x14ac:dyDescent="0.25">
      <c r="A41" s="16">
        <f t="shared" si="0"/>
        <v>40</v>
      </c>
      <c r="B41" s="15" t="s">
        <v>161</v>
      </c>
      <c r="C41" s="15">
        <v>99601583</v>
      </c>
      <c r="D41" s="19" t="s">
        <v>27</v>
      </c>
      <c r="E41" s="33" t="s">
        <v>90</v>
      </c>
      <c r="F41" s="48">
        <v>500000</v>
      </c>
      <c r="G41" s="33" t="s">
        <v>111</v>
      </c>
      <c r="H41" s="41">
        <v>45994</v>
      </c>
      <c r="I41" s="40" t="s">
        <v>117</v>
      </c>
      <c r="J41" s="33">
        <v>5209009001</v>
      </c>
      <c r="K41" s="49"/>
    </row>
    <row r="42" spans="1:11" x14ac:dyDescent="0.25">
      <c r="A42" s="16">
        <f t="shared" si="0"/>
        <v>41</v>
      </c>
      <c r="B42" s="15" t="s">
        <v>103</v>
      </c>
      <c r="C42" s="15">
        <v>96770872</v>
      </c>
      <c r="D42" s="16" t="s">
        <v>27</v>
      </c>
      <c r="E42" s="33" t="s">
        <v>90</v>
      </c>
      <c r="F42" s="48">
        <v>250000</v>
      </c>
      <c r="G42" s="33" t="s">
        <v>111</v>
      </c>
      <c r="H42" s="41">
        <v>45975</v>
      </c>
      <c r="I42" s="20" t="s">
        <v>118</v>
      </c>
      <c r="J42" s="21">
        <v>5163731642</v>
      </c>
      <c r="K42" s="49" t="s">
        <v>89</v>
      </c>
    </row>
    <row r="43" spans="1:11" ht="38.25" x14ac:dyDescent="0.25">
      <c r="A43" s="16">
        <f t="shared" si="0"/>
        <v>42</v>
      </c>
      <c r="B43" s="1" t="s">
        <v>50</v>
      </c>
      <c r="C43" s="1">
        <v>91119608</v>
      </c>
      <c r="D43" s="5" t="s">
        <v>27</v>
      </c>
      <c r="E43" s="50" t="s">
        <v>94</v>
      </c>
      <c r="F43" s="51"/>
      <c r="G43" s="51"/>
      <c r="H43" s="51"/>
      <c r="I43" s="51"/>
      <c r="J43" s="51"/>
      <c r="K43" s="34" t="s">
        <v>163</v>
      </c>
    </row>
    <row r="44" spans="1:11" ht="38.25" x14ac:dyDescent="0.25">
      <c r="A44" s="16">
        <f t="shared" si="0"/>
        <v>43</v>
      </c>
      <c r="B44" s="37" t="s">
        <v>38</v>
      </c>
      <c r="C44" s="37">
        <v>88091991</v>
      </c>
      <c r="D44" s="19" t="s">
        <v>27</v>
      </c>
      <c r="E44" s="33" t="s">
        <v>94</v>
      </c>
      <c r="F44" s="33"/>
      <c r="G44" s="33"/>
      <c r="H44" s="33"/>
      <c r="I44" s="33"/>
      <c r="J44" s="33"/>
      <c r="K44" s="34" t="s">
        <v>102</v>
      </c>
    </row>
    <row r="45" spans="1:11" ht="114.75" x14ac:dyDescent="0.25">
      <c r="A45" s="16">
        <f t="shared" si="0"/>
        <v>44</v>
      </c>
      <c r="B45" s="37" t="s">
        <v>56</v>
      </c>
      <c r="C45" s="37">
        <v>94117356</v>
      </c>
      <c r="D45" s="19" t="s">
        <v>27</v>
      </c>
      <c r="E45" s="33" t="s">
        <v>94</v>
      </c>
      <c r="F45" s="33"/>
      <c r="G45" s="33"/>
      <c r="H45" s="33"/>
      <c r="I45" s="33"/>
      <c r="J45" s="33"/>
      <c r="K45" s="34" t="s">
        <v>164</v>
      </c>
    </row>
    <row r="46" spans="1:11" x14ac:dyDescent="0.25">
      <c r="A46" s="16">
        <f t="shared" si="0"/>
        <v>45</v>
      </c>
      <c r="B46" s="37" t="s">
        <v>157</v>
      </c>
      <c r="C46" s="37">
        <v>96010258</v>
      </c>
      <c r="D46" s="19" t="s">
        <v>27</v>
      </c>
      <c r="E46" s="33" t="s">
        <v>94</v>
      </c>
      <c r="F46" s="33"/>
      <c r="G46" s="33"/>
      <c r="H46" s="33"/>
      <c r="I46" s="33"/>
      <c r="J46" s="33"/>
      <c r="K46" s="34"/>
    </row>
    <row r="47" spans="1:11" ht="38.25" x14ac:dyDescent="0.25">
      <c r="A47" s="16">
        <f t="shared" si="0"/>
        <v>46</v>
      </c>
      <c r="B47" s="2" t="s">
        <v>39</v>
      </c>
      <c r="C47" s="2">
        <v>88176666</v>
      </c>
      <c r="D47" s="3" t="s">
        <v>27</v>
      </c>
      <c r="E47" s="33" t="s">
        <v>91</v>
      </c>
      <c r="F47" s="51"/>
      <c r="G47" s="51"/>
      <c r="H47" s="51"/>
      <c r="I47" s="51"/>
      <c r="J47" s="51"/>
      <c r="K47" s="34" t="s">
        <v>222</v>
      </c>
    </row>
    <row r="48" spans="1:11" x14ac:dyDescent="0.25">
      <c r="A48" s="16">
        <f t="shared" si="0"/>
        <v>47</v>
      </c>
      <c r="B48" s="2" t="s">
        <v>41</v>
      </c>
      <c r="C48" s="2">
        <v>88355855</v>
      </c>
      <c r="D48" s="3" t="s">
        <v>27</v>
      </c>
      <c r="E48" s="33" t="s">
        <v>94</v>
      </c>
      <c r="F48" s="51"/>
      <c r="G48" s="51"/>
      <c r="H48" s="51"/>
      <c r="I48" s="51"/>
      <c r="J48" s="51"/>
      <c r="K48" s="51"/>
    </row>
    <row r="49" spans="1:11" x14ac:dyDescent="0.25">
      <c r="A49" s="16">
        <f t="shared" si="0"/>
        <v>48</v>
      </c>
      <c r="B49" s="2" t="s">
        <v>43</v>
      </c>
      <c r="C49" s="2">
        <v>88891438</v>
      </c>
      <c r="D49" s="3" t="s">
        <v>27</v>
      </c>
      <c r="E49" s="33" t="s">
        <v>94</v>
      </c>
      <c r="F49" s="51"/>
      <c r="G49" s="51"/>
      <c r="H49" s="51"/>
      <c r="I49" s="51"/>
      <c r="J49" s="51"/>
      <c r="K49" s="51"/>
    </row>
    <row r="50" spans="1:11" x14ac:dyDescent="0.25">
      <c r="A50" s="16">
        <f t="shared" si="0"/>
        <v>49</v>
      </c>
      <c r="B50" s="2" t="s">
        <v>49</v>
      </c>
      <c r="C50" s="2">
        <v>91110704</v>
      </c>
      <c r="D50" s="3" t="s">
        <v>27</v>
      </c>
      <c r="E50" s="33" t="s">
        <v>94</v>
      </c>
      <c r="F50" s="51"/>
      <c r="G50" s="51"/>
      <c r="H50" s="51"/>
      <c r="I50" s="51"/>
      <c r="J50" s="51"/>
      <c r="K50" s="51"/>
    </row>
    <row r="51" spans="1:11" x14ac:dyDescent="0.25">
      <c r="A51" s="16">
        <f t="shared" si="0"/>
        <v>50</v>
      </c>
      <c r="B51" s="2" t="s">
        <v>74</v>
      </c>
      <c r="C51" s="2">
        <v>99766524</v>
      </c>
      <c r="D51" s="3" t="s">
        <v>27</v>
      </c>
      <c r="E51" s="33" t="s">
        <v>94</v>
      </c>
      <c r="F51" s="51"/>
      <c r="G51" s="51"/>
      <c r="H51" s="51"/>
      <c r="I51" s="51"/>
      <c r="J51" s="51"/>
      <c r="K51" s="51"/>
    </row>
    <row r="52" spans="1:11" x14ac:dyDescent="0.25">
      <c r="A52" s="16">
        <f t="shared" si="0"/>
        <v>51</v>
      </c>
      <c r="B52" s="1" t="s">
        <v>83</v>
      </c>
      <c r="C52" s="1">
        <v>99140822</v>
      </c>
      <c r="D52" s="5" t="s">
        <v>27</v>
      </c>
      <c r="E52" s="33" t="s">
        <v>94</v>
      </c>
      <c r="F52" s="51"/>
      <c r="G52" s="51"/>
      <c r="H52" s="51"/>
      <c r="I52" s="51"/>
      <c r="J52" s="51"/>
      <c r="K52" s="51"/>
    </row>
    <row r="53" spans="1:11" x14ac:dyDescent="0.25">
      <c r="A53" s="16">
        <f t="shared" si="0"/>
        <v>52</v>
      </c>
      <c r="B53" s="1" t="s">
        <v>35</v>
      </c>
      <c r="C53" s="1">
        <v>88032868</v>
      </c>
      <c r="D53" s="5" t="s">
        <v>27</v>
      </c>
      <c r="E53" s="33" t="s">
        <v>94</v>
      </c>
      <c r="F53" s="51"/>
      <c r="G53" s="51"/>
      <c r="H53" s="51"/>
      <c r="I53" s="51"/>
      <c r="J53" s="51"/>
      <c r="K53" s="51"/>
    </row>
    <row r="54" spans="1:11" x14ac:dyDescent="0.25">
      <c r="A54" s="16">
        <f t="shared" si="0"/>
        <v>53</v>
      </c>
      <c r="B54" s="1" t="s">
        <v>48</v>
      </c>
      <c r="C54" s="1">
        <v>89891656</v>
      </c>
      <c r="D54" s="5" t="s">
        <v>27</v>
      </c>
      <c r="E54" s="33" t="s">
        <v>94</v>
      </c>
      <c r="F54" s="51"/>
      <c r="G54" s="51"/>
      <c r="H54" s="51"/>
      <c r="I54" s="51"/>
      <c r="J54" s="51"/>
      <c r="K54" s="51"/>
    </row>
    <row r="55" spans="1:11" x14ac:dyDescent="0.25">
      <c r="A55" s="16">
        <f t="shared" si="0"/>
        <v>54</v>
      </c>
      <c r="B55" s="1" t="s">
        <v>40</v>
      </c>
      <c r="C55" s="1">
        <v>96807676</v>
      </c>
      <c r="D55" s="5" t="s">
        <v>27</v>
      </c>
      <c r="E55" s="33" t="s">
        <v>94</v>
      </c>
      <c r="F55" s="51"/>
      <c r="G55" s="51"/>
      <c r="H55" s="51"/>
      <c r="I55" s="51"/>
      <c r="J55" s="51"/>
      <c r="K55" s="51" t="s">
        <v>223</v>
      </c>
    </row>
    <row r="56" spans="1:11" x14ac:dyDescent="0.25">
      <c r="A56" s="16">
        <f t="shared" si="0"/>
        <v>55</v>
      </c>
      <c r="B56" s="1" t="s">
        <v>31</v>
      </c>
      <c r="C56" s="1">
        <v>86309767</v>
      </c>
      <c r="D56" s="5" t="s">
        <v>27</v>
      </c>
      <c r="E56" s="33" t="s">
        <v>94</v>
      </c>
      <c r="F56" s="51"/>
      <c r="G56" s="51"/>
      <c r="H56" s="51"/>
      <c r="I56" s="51"/>
      <c r="J56" s="51"/>
      <c r="K56" s="51"/>
    </row>
    <row r="57" spans="1:11" x14ac:dyDescent="0.25">
      <c r="E57" s="52" t="s">
        <v>225</v>
      </c>
      <c r="F57" s="76">
        <f>SUM(F2:F56)</f>
        <v>8250000</v>
      </c>
    </row>
    <row r="58" spans="1:11" x14ac:dyDescent="0.25">
      <c r="E58" s="79" t="s">
        <v>217</v>
      </c>
      <c r="F58" s="80">
        <f>42*250000</f>
        <v>10500000</v>
      </c>
    </row>
    <row r="59" spans="1:11" x14ac:dyDescent="0.25">
      <c r="E59" s="52"/>
    </row>
    <row r="60" spans="1:11" x14ac:dyDescent="0.25">
      <c r="E60" s="52" t="s">
        <v>218</v>
      </c>
      <c r="F60" s="76">
        <f>F58-F57</f>
        <v>2250000</v>
      </c>
    </row>
    <row r="61" spans="1:11" x14ac:dyDescent="0.25">
      <c r="E61" s="78"/>
    </row>
    <row r="62" spans="1:11" x14ac:dyDescent="0.25">
      <c r="E62" s="78" t="s">
        <v>92</v>
      </c>
      <c r="F62" s="88">
        <v>500000</v>
      </c>
    </row>
  </sheetData>
  <autoFilter ref="A1:K61" xr:uid="{BBA9ECA6-15EB-401E-A80F-6F067F62F7F2}"/>
  <dataValidations count="3">
    <dataValidation type="list" allowBlank="1" showInputMessage="1" showErrorMessage="1" sqref="G20:I20 F40 F43:F46 E2:E56" xr:uid="{BE54A128-0E8F-41D4-B358-C2B8EAC65E0C}">
      <formula1>"Төлсөн,Төлөөгүй,Тайлбартай,Суугаагүй"</formula1>
    </dataValidation>
    <dataValidation type="list" allowBlank="1" showInputMessage="1" showErrorMessage="1" sqref="G2:G19 G21:G45" xr:uid="{EC7B469B-477D-4399-97FA-C73F34473FB5}">
      <formula1>"Данс,Бэлэн,Данс бэлэн"</formula1>
    </dataValidation>
    <dataValidation type="list" allowBlank="1" showInputMessage="1" showErrorMessage="1" sqref="I2:I3 I7 I9 I12:I19 I21:I26 I28 I34:I36 I5 I30:I32 I40:I44" xr:uid="{35D392B7-08C3-4F5A-A62D-3241143E4B8F}">
      <formula1>"Хаан,Голомт"</formula1>
    </dataValidation>
  </dataValidations>
  <pageMargins left="0.7" right="0.7" top="0.75" bottom="0.75" header="0.3" footer="0.3"/>
  <pageSetup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4A90-109A-4355-9BEF-A9F9906CF837}">
  <sheetPr>
    <tabColor rgb="FFFF0000"/>
  </sheetPr>
  <dimension ref="A2:N33"/>
  <sheetViews>
    <sheetView topLeftCell="A13" workbookViewId="0">
      <selection activeCell="I46" sqref="I46"/>
    </sheetView>
  </sheetViews>
  <sheetFormatPr defaultRowHeight="15" x14ac:dyDescent="0.25"/>
  <cols>
    <col min="1" max="1" width="3.42578125" bestFit="1" customWidth="1"/>
    <col min="2" max="2" width="13.42578125" style="92" bestFit="1" customWidth="1"/>
    <col min="3" max="4" width="9" style="92"/>
    <col min="5" max="5" width="13.28515625" style="92" bestFit="1" customWidth="1"/>
    <col min="6" max="6" width="11.85546875" style="92" bestFit="1" customWidth="1"/>
    <col min="7" max="7" width="9.42578125" style="92" bestFit="1" customWidth="1"/>
    <col min="8" max="8" width="11.140625" style="92" bestFit="1" customWidth="1"/>
    <col min="9" max="9" width="13.28515625" style="92" bestFit="1" customWidth="1"/>
    <col min="10" max="10" width="9" style="92"/>
    <col min="11" max="11" width="13" style="96" bestFit="1" customWidth="1"/>
    <col min="12" max="12" width="42" style="92" bestFit="1" customWidth="1"/>
    <col min="13" max="13" width="11.7109375" style="90" bestFit="1" customWidth="1"/>
    <col min="14" max="14" width="68.5703125" style="97" bestFit="1" customWidth="1"/>
  </cols>
  <sheetData>
    <row r="2" spans="1:14" ht="15.75" x14ac:dyDescent="0.25">
      <c r="B2" s="104" t="s">
        <v>228</v>
      </c>
      <c r="C2" s="104"/>
      <c r="D2" s="104"/>
      <c r="E2" s="104"/>
      <c r="F2" s="104"/>
      <c r="G2" s="104"/>
      <c r="H2" s="104"/>
      <c r="I2" s="104"/>
      <c r="J2" s="104"/>
      <c r="K2" s="104"/>
      <c r="L2" s="104"/>
      <c r="M2" s="104"/>
      <c r="N2" s="104"/>
    </row>
    <row r="4" spans="1:14" ht="38.25" x14ac:dyDescent="0.25">
      <c r="A4" s="98" t="s">
        <v>85</v>
      </c>
      <c r="B4" s="98" t="s">
        <v>1</v>
      </c>
      <c r="C4" s="98" t="s">
        <v>2</v>
      </c>
      <c r="D4" s="98" t="s">
        <v>229</v>
      </c>
      <c r="E4" s="98" t="s">
        <v>120</v>
      </c>
      <c r="F4" s="98" t="s">
        <v>230</v>
      </c>
      <c r="G4" s="98" t="s">
        <v>121</v>
      </c>
      <c r="H4" s="98" t="s">
        <v>122</v>
      </c>
      <c r="I4" s="98" t="s">
        <v>123</v>
      </c>
      <c r="J4" s="98" t="s">
        <v>231</v>
      </c>
      <c r="K4" s="98" t="s">
        <v>232</v>
      </c>
      <c r="L4" s="98" t="s">
        <v>86</v>
      </c>
      <c r="M4" s="99" t="s">
        <v>233</v>
      </c>
      <c r="N4" s="99" t="s">
        <v>234</v>
      </c>
    </row>
    <row r="5" spans="1:14" x14ac:dyDescent="0.25">
      <c r="A5" s="10">
        <v>1</v>
      </c>
      <c r="B5" s="11" t="s">
        <v>41</v>
      </c>
      <c r="C5" s="11">
        <v>88355855</v>
      </c>
      <c r="D5" s="11"/>
      <c r="E5" s="11" t="s">
        <v>27</v>
      </c>
      <c r="F5" s="12">
        <v>45903</v>
      </c>
      <c r="G5" s="14"/>
      <c r="H5" s="12"/>
      <c r="I5" s="11"/>
      <c r="J5" s="11"/>
      <c r="K5" s="10" t="s">
        <v>235</v>
      </c>
      <c r="L5" s="11" t="s">
        <v>236</v>
      </c>
      <c r="M5" s="56">
        <v>250000</v>
      </c>
      <c r="N5" s="100" t="s">
        <v>237</v>
      </c>
    </row>
    <row r="6" spans="1:14" ht="45" x14ac:dyDescent="0.25">
      <c r="A6" s="10">
        <f>A5+1</f>
        <v>2</v>
      </c>
      <c r="B6" s="15" t="s">
        <v>239</v>
      </c>
      <c r="C6" s="11">
        <v>99654214</v>
      </c>
      <c r="D6" s="11"/>
      <c r="E6" s="11" t="s">
        <v>27</v>
      </c>
      <c r="F6" s="12">
        <v>45903</v>
      </c>
      <c r="G6" s="14"/>
      <c r="H6" s="12"/>
      <c r="I6" s="11"/>
      <c r="J6" s="11"/>
      <c r="K6" s="10" t="s">
        <v>235</v>
      </c>
      <c r="L6" s="11"/>
      <c r="M6" s="56">
        <v>250000</v>
      </c>
      <c r="N6" s="101" t="s">
        <v>240</v>
      </c>
    </row>
    <row r="7" spans="1:14" x14ac:dyDescent="0.25">
      <c r="A7" s="10">
        <f t="shared" ref="A7:A29" si="0">A6+1</f>
        <v>3</v>
      </c>
      <c r="B7" s="15" t="s">
        <v>35</v>
      </c>
      <c r="C7" s="11">
        <v>88032868</v>
      </c>
      <c r="D7" s="11"/>
      <c r="E7" s="11" t="s">
        <v>27</v>
      </c>
      <c r="F7" s="12">
        <v>45903</v>
      </c>
      <c r="G7" s="14"/>
      <c r="H7" s="12"/>
      <c r="I7" s="11"/>
      <c r="J7" s="11"/>
      <c r="K7" s="10" t="s">
        <v>235</v>
      </c>
      <c r="L7" s="11"/>
      <c r="M7" s="56">
        <v>250000</v>
      </c>
      <c r="N7" s="100" t="s">
        <v>241</v>
      </c>
    </row>
    <row r="8" spans="1:14" x14ac:dyDescent="0.25">
      <c r="A8" s="10">
        <f t="shared" si="0"/>
        <v>4</v>
      </c>
      <c r="B8" s="15" t="s">
        <v>58</v>
      </c>
      <c r="C8" s="11">
        <v>95095033</v>
      </c>
      <c r="D8" s="11"/>
      <c r="E8" s="11" t="s">
        <v>27</v>
      </c>
      <c r="F8" s="12">
        <v>45903</v>
      </c>
      <c r="G8" s="14"/>
      <c r="H8" s="12"/>
      <c r="I8" s="11"/>
      <c r="J8" s="11"/>
      <c r="K8" s="10" t="s">
        <v>92</v>
      </c>
      <c r="L8" s="11"/>
      <c r="M8" s="56">
        <v>250000</v>
      </c>
      <c r="N8" s="100" t="s">
        <v>242</v>
      </c>
    </row>
    <row r="9" spans="1:14" ht="25.5" x14ac:dyDescent="0.25">
      <c r="A9" s="10">
        <f t="shared" si="0"/>
        <v>5</v>
      </c>
      <c r="B9" s="15" t="s">
        <v>77</v>
      </c>
      <c r="C9" s="11"/>
      <c r="D9" s="11"/>
      <c r="E9" s="11" t="s">
        <v>27</v>
      </c>
      <c r="F9" s="12">
        <v>45903</v>
      </c>
      <c r="G9" s="14"/>
      <c r="H9" s="12"/>
      <c r="I9" s="11"/>
      <c r="J9" s="11"/>
      <c r="K9" s="10" t="s">
        <v>238</v>
      </c>
      <c r="L9" s="11"/>
      <c r="M9" s="56">
        <v>250000</v>
      </c>
      <c r="N9" s="100" t="s">
        <v>243</v>
      </c>
    </row>
    <row r="10" spans="1:14" x14ac:dyDescent="0.25">
      <c r="A10" s="10">
        <f t="shared" si="0"/>
        <v>6</v>
      </c>
      <c r="B10" s="11" t="s">
        <v>60</v>
      </c>
      <c r="C10" s="11">
        <v>96696550</v>
      </c>
      <c r="D10" s="11"/>
      <c r="E10" s="11" t="s">
        <v>27</v>
      </c>
      <c r="F10" s="12">
        <v>45903</v>
      </c>
      <c r="G10" s="14"/>
      <c r="H10" s="12"/>
      <c r="I10" s="11"/>
      <c r="J10" s="11"/>
      <c r="K10" s="10" t="s">
        <v>92</v>
      </c>
      <c r="L10" s="11"/>
      <c r="M10" s="56">
        <v>250000</v>
      </c>
      <c r="N10" s="100" t="s">
        <v>244</v>
      </c>
    </row>
    <row r="11" spans="1:14" x14ac:dyDescent="0.25">
      <c r="A11" s="10">
        <f t="shared" si="0"/>
        <v>7</v>
      </c>
      <c r="B11" s="11" t="s">
        <v>74</v>
      </c>
      <c r="C11" s="11">
        <v>99766524</v>
      </c>
      <c r="D11" s="11"/>
      <c r="E11" s="11" t="s">
        <v>27</v>
      </c>
      <c r="F11" s="12">
        <v>45903</v>
      </c>
      <c r="G11" s="14"/>
      <c r="H11" s="12"/>
      <c r="I11" s="11"/>
      <c r="J11" s="11"/>
      <c r="K11" s="10" t="s">
        <v>235</v>
      </c>
      <c r="L11" s="11" t="s">
        <v>245</v>
      </c>
      <c r="M11" s="56">
        <v>250000</v>
      </c>
      <c r="N11" s="100" t="s">
        <v>246</v>
      </c>
    </row>
    <row r="12" spans="1:14" x14ac:dyDescent="0.25">
      <c r="A12" s="10">
        <f t="shared" si="0"/>
        <v>8</v>
      </c>
      <c r="B12" s="11" t="s">
        <v>56</v>
      </c>
      <c r="C12" s="11">
        <v>89685330</v>
      </c>
      <c r="D12" s="11"/>
      <c r="E12" s="11" t="s">
        <v>27</v>
      </c>
      <c r="F12" s="12">
        <v>45903</v>
      </c>
      <c r="G12" s="14"/>
      <c r="H12" s="12"/>
      <c r="I12" s="11"/>
      <c r="J12" s="11"/>
      <c r="K12" s="10" t="s">
        <v>235</v>
      </c>
      <c r="L12" s="11" t="s">
        <v>247</v>
      </c>
      <c r="M12" s="56">
        <v>250000</v>
      </c>
      <c r="N12" s="100" t="s">
        <v>248</v>
      </c>
    </row>
    <row r="13" spans="1:14" x14ac:dyDescent="0.25">
      <c r="A13" s="10">
        <f t="shared" si="0"/>
        <v>9</v>
      </c>
      <c r="B13" s="25" t="s">
        <v>249</v>
      </c>
      <c r="C13" s="25"/>
      <c r="D13" s="25"/>
      <c r="E13" s="25" t="s">
        <v>4</v>
      </c>
      <c r="F13" s="87"/>
      <c r="G13" s="63"/>
      <c r="H13" s="87"/>
      <c r="I13" s="25"/>
      <c r="J13" s="25"/>
      <c r="K13" s="10" t="s">
        <v>235</v>
      </c>
      <c r="L13" s="25" t="s">
        <v>129</v>
      </c>
      <c r="M13" s="63">
        <v>200000</v>
      </c>
      <c r="N13" s="102" t="s">
        <v>250</v>
      </c>
    </row>
    <row r="14" spans="1:14" x14ac:dyDescent="0.25">
      <c r="A14" s="10">
        <f t="shared" si="0"/>
        <v>10</v>
      </c>
      <c r="B14" s="11" t="s">
        <v>251</v>
      </c>
      <c r="C14" s="11"/>
      <c r="D14" s="11"/>
      <c r="E14" s="11" t="s">
        <v>4</v>
      </c>
      <c r="F14" s="12"/>
      <c r="G14" s="56"/>
      <c r="H14" s="12"/>
      <c r="I14" s="11"/>
      <c r="J14" s="11"/>
      <c r="K14" s="10" t="s">
        <v>235</v>
      </c>
      <c r="L14" s="11"/>
      <c r="M14" s="56">
        <v>200000</v>
      </c>
      <c r="N14" s="100"/>
    </row>
    <row r="15" spans="1:14" x14ac:dyDescent="0.25">
      <c r="A15" s="10">
        <f t="shared" si="0"/>
        <v>11</v>
      </c>
      <c r="B15" s="11" t="s">
        <v>252</v>
      </c>
      <c r="C15" s="11"/>
      <c r="D15" s="11"/>
      <c r="E15" s="11" t="s">
        <v>125</v>
      </c>
      <c r="F15" s="12">
        <v>45903</v>
      </c>
      <c r="G15" s="14"/>
      <c r="H15" s="11"/>
      <c r="I15" s="11"/>
      <c r="J15" s="11"/>
      <c r="K15" s="10" t="s">
        <v>235</v>
      </c>
      <c r="L15" s="11" t="s">
        <v>245</v>
      </c>
      <c r="M15" s="56">
        <v>50000</v>
      </c>
      <c r="N15" s="100" t="s">
        <v>253</v>
      </c>
    </row>
    <row r="16" spans="1:14" x14ac:dyDescent="0.25">
      <c r="A16" s="10">
        <f t="shared" si="0"/>
        <v>12</v>
      </c>
      <c r="B16" s="11" t="s">
        <v>254</v>
      </c>
      <c r="C16" s="11"/>
      <c r="D16" s="11"/>
      <c r="E16" s="11" t="s">
        <v>125</v>
      </c>
      <c r="F16" s="12">
        <v>45903</v>
      </c>
      <c r="G16" s="14"/>
      <c r="H16" s="11"/>
      <c r="I16" s="11"/>
      <c r="J16" s="11"/>
      <c r="K16" s="10" t="s">
        <v>235</v>
      </c>
      <c r="L16" s="11" t="s">
        <v>255</v>
      </c>
      <c r="M16" s="56">
        <v>50000</v>
      </c>
      <c r="N16" s="100" t="s">
        <v>256</v>
      </c>
    </row>
    <row r="17" spans="1:14" x14ac:dyDescent="0.25">
      <c r="A17" s="10">
        <f t="shared" si="0"/>
        <v>13</v>
      </c>
      <c r="B17" s="11" t="s">
        <v>128</v>
      </c>
      <c r="C17" s="11"/>
      <c r="D17" s="11"/>
      <c r="E17" s="11" t="s">
        <v>125</v>
      </c>
      <c r="F17" s="12">
        <v>45903</v>
      </c>
      <c r="G17" s="14"/>
      <c r="H17" s="11"/>
      <c r="I17" s="11"/>
      <c r="J17" s="11"/>
      <c r="K17" s="10" t="s">
        <v>235</v>
      </c>
      <c r="L17" s="11" t="s">
        <v>257</v>
      </c>
      <c r="M17" s="56">
        <v>50000</v>
      </c>
      <c r="N17" s="100" t="s">
        <v>253</v>
      </c>
    </row>
    <row r="18" spans="1:14" x14ac:dyDescent="0.25">
      <c r="A18" s="10">
        <f t="shared" si="0"/>
        <v>14</v>
      </c>
      <c r="B18" s="11" t="s">
        <v>258</v>
      </c>
      <c r="C18" s="11"/>
      <c r="D18" s="11"/>
      <c r="E18" s="11" t="s">
        <v>125</v>
      </c>
      <c r="F18" s="12">
        <v>45903</v>
      </c>
      <c r="G18" s="11" t="s">
        <v>129</v>
      </c>
      <c r="H18" s="11"/>
      <c r="I18" s="11"/>
      <c r="J18" s="11"/>
      <c r="K18" s="10" t="s">
        <v>235</v>
      </c>
      <c r="L18" s="11" t="s">
        <v>259</v>
      </c>
      <c r="M18" s="56">
        <v>50000</v>
      </c>
      <c r="N18" s="11" t="s">
        <v>260</v>
      </c>
    </row>
    <row r="19" spans="1:14" x14ac:dyDescent="0.25">
      <c r="A19" s="10">
        <f t="shared" si="0"/>
        <v>15</v>
      </c>
      <c r="B19" s="11" t="s">
        <v>132</v>
      </c>
      <c r="C19" s="11"/>
      <c r="D19" s="11"/>
      <c r="E19" s="11" t="s">
        <v>125</v>
      </c>
      <c r="F19" s="12">
        <v>45903</v>
      </c>
      <c r="G19" s="14"/>
      <c r="H19" s="11"/>
      <c r="I19" s="11"/>
      <c r="J19" s="11"/>
      <c r="K19" s="10" t="s">
        <v>235</v>
      </c>
      <c r="L19" s="11" t="s">
        <v>261</v>
      </c>
      <c r="M19" s="56">
        <v>50000</v>
      </c>
      <c r="N19" s="100" t="s">
        <v>253</v>
      </c>
    </row>
    <row r="20" spans="1:14" ht="38.25" x14ac:dyDescent="0.25">
      <c r="A20" s="10">
        <f t="shared" si="0"/>
        <v>16</v>
      </c>
      <c r="B20" s="11" t="s">
        <v>133</v>
      </c>
      <c r="C20" s="11"/>
      <c r="D20" s="11"/>
      <c r="E20" s="11" t="s">
        <v>125</v>
      </c>
      <c r="F20" s="12">
        <v>45903</v>
      </c>
      <c r="G20" s="14"/>
      <c r="H20" s="11"/>
      <c r="I20" s="11"/>
      <c r="J20" s="11"/>
      <c r="K20" s="10" t="s">
        <v>235</v>
      </c>
      <c r="L20" s="11" t="s">
        <v>261</v>
      </c>
      <c r="M20" s="56">
        <v>50000</v>
      </c>
      <c r="N20" s="100" t="s">
        <v>262</v>
      </c>
    </row>
    <row r="21" spans="1:14" x14ac:dyDescent="0.25">
      <c r="A21" s="10">
        <f t="shared" si="0"/>
        <v>17</v>
      </c>
      <c r="B21" s="11" t="s">
        <v>134</v>
      </c>
      <c r="C21" s="11"/>
      <c r="D21" s="11"/>
      <c r="E21" s="11" t="s">
        <v>125</v>
      </c>
      <c r="F21" s="12">
        <v>45903</v>
      </c>
      <c r="G21" s="14">
        <v>50000</v>
      </c>
      <c r="H21" s="12">
        <v>45971</v>
      </c>
      <c r="I21" s="11" t="s">
        <v>111</v>
      </c>
      <c r="J21" s="11"/>
      <c r="K21" s="10" t="s">
        <v>235</v>
      </c>
      <c r="L21" s="11" t="s">
        <v>263</v>
      </c>
      <c r="M21" s="56">
        <v>50000</v>
      </c>
      <c r="N21" s="100" t="s">
        <v>264</v>
      </c>
    </row>
    <row r="22" spans="1:14" x14ac:dyDescent="0.25">
      <c r="A22" s="10">
        <f t="shared" si="0"/>
        <v>18</v>
      </c>
      <c r="B22" s="11" t="s">
        <v>265</v>
      </c>
      <c r="C22" s="11"/>
      <c r="D22" s="11"/>
      <c r="E22" s="11" t="s">
        <v>125</v>
      </c>
      <c r="F22" s="12">
        <v>45903</v>
      </c>
      <c r="G22" s="14"/>
      <c r="H22" s="11"/>
      <c r="I22" s="11"/>
      <c r="J22" s="11"/>
      <c r="K22" s="10" t="s">
        <v>235</v>
      </c>
      <c r="L22" s="11" t="s">
        <v>245</v>
      </c>
      <c r="M22" s="56">
        <v>50000</v>
      </c>
      <c r="N22" s="100" t="s">
        <v>253</v>
      </c>
    </row>
    <row r="23" spans="1:14" x14ac:dyDescent="0.25">
      <c r="A23" s="10">
        <f t="shared" si="0"/>
        <v>19</v>
      </c>
      <c r="B23" s="11" t="s">
        <v>142</v>
      </c>
      <c r="C23" s="11"/>
      <c r="D23" s="11"/>
      <c r="E23" s="11" t="s">
        <v>125</v>
      </c>
      <c r="F23" s="12">
        <v>45903</v>
      </c>
      <c r="G23" s="14"/>
      <c r="H23" s="11"/>
      <c r="I23" s="11"/>
      <c r="J23" s="11"/>
      <c r="K23" s="10" t="s">
        <v>235</v>
      </c>
      <c r="L23" s="11" t="s">
        <v>257</v>
      </c>
      <c r="M23" s="56">
        <v>50000</v>
      </c>
      <c r="N23" s="100" t="s">
        <v>253</v>
      </c>
    </row>
    <row r="24" spans="1:14" x14ac:dyDescent="0.25">
      <c r="A24" s="10">
        <f t="shared" si="0"/>
        <v>20</v>
      </c>
      <c r="B24" s="11" t="s">
        <v>148</v>
      </c>
      <c r="C24" s="11"/>
      <c r="D24" s="11"/>
      <c r="E24" s="11" t="s">
        <v>125</v>
      </c>
      <c r="F24" s="12">
        <v>45903</v>
      </c>
      <c r="G24" s="14"/>
      <c r="H24" s="11"/>
      <c r="I24" s="11"/>
      <c r="J24" s="11"/>
      <c r="K24" s="10" t="s">
        <v>235</v>
      </c>
      <c r="L24" s="11" t="s">
        <v>257</v>
      </c>
      <c r="M24" s="56">
        <v>50000</v>
      </c>
      <c r="N24" s="100" t="s">
        <v>253</v>
      </c>
    </row>
    <row r="25" spans="1:14" x14ac:dyDescent="0.25">
      <c r="A25" s="10">
        <f t="shared" si="0"/>
        <v>21</v>
      </c>
      <c r="B25" s="11" t="s">
        <v>150</v>
      </c>
      <c r="C25" s="11"/>
      <c r="D25" s="11"/>
      <c r="E25" s="11" t="s">
        <v>125</v>
      </c>
      <c r="F25" s="12">
        <v>45903</v>
      </c>
      <c r="G25" s="14"/>
      <c r="H25" s="11"/>
      <c r="I25" s="11"/>
      <c r="J25" s="11"/>
      <c r="K25" s="10" t="s">
        <v>235</v>
      </c>
      <c r="L25" s="11" t="s">
        <v>257</v>
      </c>
      <c r="M25" s="56">
        <v>50000</v>
      </c>
      <c r="N25" s="100" t="s">
        <v>253</v>
      </c>
    </row>
    <row r="26" spans="1:14" x14ac:dyDescent="0.25">
      <c r="A26" s="10">
        <f t="shared" si="0"/>
        <v>22</v>
      </c>
      <c r="B26" s="11" t="s">
        <v>266</v>
      </c>
      <c r="C26" s="11"/>
      <c r="D26" s="11"/>
      <c r="E26" s="11" t="s">
        <v>125</v>
      </c>
      <c r="F26" s="12">
        <v>45903</v>
      </c>
      <c r="G26" s="14"/>
      <c r="H26" s="11"/>
      <c r="I26" s="11"/>
      <c r="J26" s="11"/>
      <c r="K26" s="10" t="s">
        <v>235</v>
      </c>
      <c r="L26" s="11" t="s">
        <v>267</v>
      </c>
      <c r="M26" s="56">
        <v>50000</v>
      </c>
      <c r="N26" s="100" t="s">
        <v>253</v>
      </c>
    </row>
    <row r="27" spans="1:14" x14ac:dyDescent="0.25">
      <c r="A27" s="10">
        <f t="shared" si="0"/>
        <v>23</v>
      </c>
      <c r="B27" s="11" t="s">
        <v>268</v>
      </c>
      <c r="C27" s="11"/>
      <c r="D27" s="11"/>
      <c r="E27" s="11" t="s">
        <v>125</v>
      </c>
      <c r="F27" s="12">
        <v>45903</v>
      </c>
      <c r="G27" s="14"/>
      <c r="H27" s="11"/>
      <c r="I27" s="11"/>
      <c r="J27" s="11"/>
      <c r="K27" s="10" t="s">
        <v>235</v>
      </c>
      <c r="L27" s="11" t="s">
        <v>267</v>
      </c>
      <c r="M27" s="56">
        <v>50000</v>
      </c>
      <c r="N27" s="100" t="s">
        <v>253</v>
      </c>
    </row>
    <row r="28" spans="1:14" x14ac:dyDescent="0.25">
      <c r="A28" s="10">
        <f t="shared" si="0"/>
        <v>24</v>
      </c>
      <c r="B28" s="11" t="s">
        <v>269</v>
      </c>
      <c r="C28" s="11"/>
      <c r="D28" s="11"/>
      <c r="E28" s="11" t="s">
        <v>125</v>
      </c>
      <c r="F28" s="12">
        <v>45903</v>
      </c>
      <c r="G28" s="14"/>
      <c r="H28" s="11"/>
      <c r="I28" s="11"/>
      <c r="J28" s="11"/>
      <c r="K28" s="10" t="s">
        <v>235</v>
      </c>
      <c r="L28" s="11" t="s">
        <v>270</v>
      </c>
      <c r="M28" s="56">
        <v>50000</v>
      </c>
      <c r="N28" s="100" t="s">
        <v>253</v>
      </c>
    </row>
    <row r="29" spans="1:14" x14ac:dyDescent="0.25">
      <c r="A29" s="10">
        <f t="shared" si="0"/>
        <v>25</v>
      </c>
      <c r="B29" s="11" t="s">
        <v>155</v>
      </c>
      <c r="C29" s="11"/>
      <c r="D29" s="11"/>
      <c r="E29" s="11" t="s">
        <v>125</v>
      </c>
      <c r="F29" s="12">
        <v>45903</v>
      </c>
      <c r="G29" s="14"/>
      <c r="H29" s="11"/>
      <c r="I29" s="11"/>
      <c r="J29" s="11"/>
      <c r="K29" s="10" t="s">
        <v>235</v>
      </c>
      <c r="L29" s="11" t="s">
        <v>271</v>
      </c>
      <c r="M29" s="56">
        <v>50000</v>
      </c>
      <c r="N29" s="100" t="s">
        <v>253</v>
      </c>
    </row>
    <row r="30" spans="1:14" x14ac:dyDescent="0.25">
      <c r="L30" s="89"/>
    </row>
    <row r="31" spans="1:14" x14ac:dyDescent="0.25">
      <c r="L31" s="89"/>
    </row>
    <row r="32" spans="1:14" x14ac:dyDescent="0.25">
      <c r="L32" s="89"/>
    </row>
    <row r="33" spans="12:13" x14ac:dyDescent="0.25">
      <c r="L33" s="91"/>
      <c r="M33" s="103"/>
    </row>
  </sheetData>
  <mergeCells count="1">
    <mergeCell ref="B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A31E5-13AF-4162-BAA0-71B31696C234}">
  <sheetPr>
    <tabColor rgb="FFFF0000"/>
  </sheetPr>
  <dimension ref="A2:O37"/>
  <sheetViews>
    <sheetView tabSelected="1" topLeftCell="A28" workbookViewId="0">
      <selection activeCell="I45" sqref="I45"/>
    </sheetView>
  </sheetViews>
  <sheetFormatPr defaultRowHeight="15" x14ac:dyDescent="0.25"/>
  <cols>
    <col min="1" max="1" width="9" style="52"/>
    <col min="2" max="2" width="9.28515625" style="52" bestFit="1" customWidth="1"/>
    <col min="3" max="3" width="9" style="52"/>
    <col min="4" max="4" width="7.42578125" style="52" customWidth="1"/>
    <col min="5" max="5" width="20.140625" style="52" customWidth="1"/>
    <col min="6" max="6" width="8" style="52" customWidth="1"/>
    <col min="7" max="7" width="19.7109375" style="52" customWidth="1"/>
    <col min="8" max="8" width="7.85546875" style="53" customWidth="1"/>
    <col min="9" max="10" width="14" style="52" customWidth="1"/>
    <col min="11" max="11" width="3.7109375" style="54" bestFit="1" customWidth="1"/>
    <col min="12" max="12" width="19.42578125" style="52" customWidth="1"/>
    <col min="13" max="13" width="22.28515625" style="55" customWidth="1"/>
    <col min="14" max="14" width="9" style="52"/>
    <col min="15" max="15" width="13.5703125" style="52" bestFit="1" customWidth="1"/>
  </cols>
  <sheetData>
    <row r="2" spans="1:13" x14ac:dyDescent="0.25">
      <c r="B2" s="105" t="s">
        <v>195</v>
      </c>
      <c r="C2" s="105"/>
      <c r="D2" s="105"/>
      <c r="E2" s="105"/>
      <c r="F2" s="105"/>
      <c r="G2" s="105"/>
      <c r="H2" s="105"/>
      <c r="I2" s="105"/>
      <c r="J2" s="105"/>
      <c r="K2" s="105"/>
      <c r="L2" s="105"/>
      <c r="M2" s="105"/>
    </row>
    <row r="4" spans="1:13" x14ac:dyDescent="0.25">
      <c r="A4" s="106"/>
      <c r="B4" s="107" t="s">
        <v>196</v>
      </c>
      <c r="C4" s="107" t="s">
        <v>197</v>
      </c>
      <c r="D4" s="107" t="s">
        <v>198</v>
      </c>
      <c r="E4" s="107"/>
      <c r="F4" s="107" t="s">
        <v>199</v>
      </c>
      <c r="G4" s="107"/>
      <c r="H4" s="107" t="s">
        <v>200</v>
      </c>
      <c r="I4" s="107"/>
      <c r="J4" s="107" t="s">
        <v>201</v>
      </c>
      <c r="K4" s="108" t="s">
        <v>202</v>
      </c>
      <c r="L4" s="107" t="s">
        <v>95</v>
      </c>
      <c r="M4" s="111" t="s">
        <v>86</v>
      </c>
    </row>
    <row r="5" spans="1:13" x14ac:dyDescent="0.25">
      <c r="A5" s="106"/>
      <c r="B5" s="107"/>
      <c r="C5" s="107"/>
      <c r="D5" s="107"/>
      <c r="E5" s="107"/>
      <c r="F5" s="107"/>
      <c r="G5" s="107"/>
      <c r="H5" s="107"/>
      <c r="I5" s="107"/>
      <c r="J5" s="107"/>
      <c r="K5" s="109"/>
      <c r="L5" s="107"/>
      <c r="M5" s="111"/>
    </row>
    <row r="6" spans="1:13" x14ac:dyDescent="0.25">
      <c r="B6" s="110" t="s">
        <v>203</v>
      </c>
      <c r="C6" s="11" t="s">
        <v>99</v>
      </c>
      <c r="D6" s="10">
        <v>51</v>
      </c>
      <c r="E6" s="56">
        <f>D6*250000</f>
        <v>12750000</v>
      </c>
      <c r="F6" s="10">
        <v>38</v>
      </c>
      <c r="G6" s="57">
        <v>8843750</v>
      </c>
      <c r="H6" s="10">
        <f>D6-F6</f>
        <v>13</v>
      </c>
      <c r="I6" s="56">
        <f>E6-G6-J6</f>
        <v>3406250</v>
      </c>
      <c r="J6" s="56">
        <v>500000</v>
      </c>
      <c r="K6" s="58">
        <v>1</v>
      </c>
      <c r="L6" s="56">
        <v>156250</v>
      </c>
      <c r="M6" s="38"/>
    </row>
    <row r="7" spans="1:13" ht="38.25" x14ac:dyDescent="0.25">
      <c r="B7" s="110"/>
      <c r="C7" s="59" t="s">
        <v>98</v>
      </c>
      <c r="D7" s="18">
        <v>41</v>
      </c>
      <c r="E7" s="60">
        <f t="shared" ref="E7" si="0">D7*250000</f>
        <v>10250000</v>
      </c>
      <c r="F7" s="18">
        <f t="shared" ref="F7" si="1">D7-H7</f>
        <v>27</v>
      </c>
      <c r="G7" s="61">
        <v>6500000</v>
      </c>
      <c r="H7" s="18">
        <v>14</v>
      </c>
      <c r="I7" s="61">
        <f>E7-G7</f>
        <v>3750000</v>
      </c>
      <c r="J7" s="59"/>
      <c r="K7" s="62">
        <v>2</v>
      </c>
      <c r="L7" s="60">
        <v>250000</v>
      </c>
      <c r="M7" s="38" t="s">
        <v>204</v>
      </c>
    </row>
    <row r="8" spans="1:13" x14ac:dyDescent="0.25">
      <c r="B8" s="110" t="s">
        <v>205</v>
      </c>
      <c r="C8" s="11" t="s">
        <v>99</v>
      </c>
      <c r="D8" s="26">
        <v>23</v>
      </c>
      <c r="E8" s="63">
        <f>D8*200000</f>
        <v>4600000</v>
      </c>
      <c r="F8" s="26">
        <v>21</v>
      </c>
      <c r="G8" s="64">
        <f>F8*200000</f>
        <v>4200000</v>
      </c>
      <c r="H8" s="26">
        <v>2</v>
      </c>
      <c r="I8" s="64">
        <f>E8-G8</f>
        <v>400000</v>
      </c>
      <c r="J8" s="25"/>
      <c r="K8" s="24"/>
      <c r="L8" s="25"/>
      <c r="M8" s="38"/>
    </row>
    <row r="9" spans="1:13" ht="25.5" x14ac:dyDescent="0.25">
      <c r="B9" s="110"/>
      <c r="C9" s="59" t="s">
        <v>98</v>
      </c>
      <c r="D9" s="29">
        <v>24</v>
      </c>
      <c r="E9" s="65">
        <f>D9*200000</f>
        <v>4800000</v>
      </c>
      <c r="F9" s="29">
        <v>13</v>
      </c>
      <c r="G9" s="66">
        <v>3000000</v>
      </c>
      <c r="H9" s="29">
        <v>11</v>
      </c>
      <c r="I9" s="66">
        <v>2200000</v>
      </c>
      <c r="J9" s="65">
        <v>400000</v>
      </c>
      <c r="K9" s="67"/>
      <c r="L9" s="65"/>
      <c r="M9" s="38" t="s">
        <v>206</v>
      </c>
    </row>
    <row r="10" spans="1:13" ht="90" x14ac:dyDescent="0.25">
      <c r="B10" s="110" t="s">
        <v>125</v>
      </c>
      <c r="C10" s="59" t="s">
        <v>99</v>
      </c>
      <c r="D10" s="29">
        <v>55</v>
      </c>
      <c r="E10" s="65">
        <f>D10*50000</f>
        <v>2750000</v>
      </c>
      <c r="F10" s="29">
        <v>40</v>
      </c>
      <c r="G10" s="66">
        <v>3000000</v>
      </c>
      <c r="H10" s="29">
        <v>15</v>
      </c>
      <c r="I10" s="66">
        <f>E10-G10+J10</f>
        <v>800000</v>
      </c>
      <c r="J10" s="65">
        <v>1050000</v>
      </c>
      <c r="K10" s="67"/>
      <c r="L10" s="65"/>
      <c r="M10" s="68" t="s">
        <v>207</v>
      </c>
    </row>
    <row r="11" spans="1:13" ht="30" x14ac:dyDescent="0.25">
      <c r="B11" s="110"/>
      <c r="C11" s="59" t="s">
        <v>208</v>
      </c>
      <c r="D11" s="29">
        <v>42</v>
      </c>
      <c r="E11" s="65">
        <f>D11*50000</f>
        <v>2100000</v>
      </c>
      <c r="F11" s="29">
        <f>D11-H11</f>
        <v>33</v>
      </c>
      <c r="G11" s="66">
        <f>F11*50000</f>
        <v>1650000</v>
      </c>
      <c r="H11" s="29">
        <v>9</v>
      </c>
      <c r="I11" s="66">
        <v>450000</v>
      </c>
      <c r="J11" s="65">
        <v>50000</v>
      </c>
      <c r="K11" s="67"/>
      <c r="L11" s="63"/>
      <c r="M11" s="68" t="s">
        <v>209</v>
      </c>
    </row>
    <row r="12" spans="1:13" x14ac:dyDescent="0.25">
      <c r="B12" s="69" t="s">
        <v>210</v>
      </c>
      <c r="C12" s="69"/>
      <c r="D12" s="70">
        <f t="shared" ref="D12:J12" si="2">SUM(D6:D11)</f>
        <v>236</v>
      </c>
      <c r="E12" s="71">
        <f t="shared" si="2"/>
        <v>37250000</v>
      </c>
      <c r="F12" s="70">
        <f t="shared" si="2"/>
        <v>172</v>
      </c>
      <c r="G12" s="71">
        <f t="shared" si="2"/>
        <v>27193750</v>
      </c>
      <c r="H12" s="70">
        <f>SUM(H6:H11)</f>
        <v>64</v>
      </c>
      <c r="I12" s="72">
        <f>E12-G12+J12</f>
        <v>12056250</v>
      </c>
      <c r="J12" s="71">
        <f t="shared" si="2"/>
        <v>2000000</v>
      </c>
      <c r="K12" s="73"/>
      <c r="L12" s="71"/>
      <c r="M12" s="74"/>
    </row>
    <row r="14" spans="1:13" x14ac:dyDescent="0.25">
      <c r="B14" s="105" t="s">
        <v>211</v>
      </c>
      <c r="C14" s="105"/>
      <c r="D14" s="105"/>
      <c r="E14" s="105"/>
      <c r="F14" s="105"/>
      <c r="G14" s="105"/>
      <c r="H14" s="105"/>
      <c r="I14" s="105"/>
      <c r="J14" s="105"/>
      <c r="K14" s="105"/>
      <c r="L14" s="105"/>
      <c r="M14" s="105"/>
    </row>
    <row r="16" spans="1:13" x14ac:dyDescent="0.25">
      <c r="B16" s="107" t="s">
        <v>196</v>
      </c>
      <c r="C16" s="107" t="s">
        <v>197</v>
      </c>
      <c r="D16" s="107" t="s">
        <v>198</v>
      </c>
      <c r="E16" s="107"/>
      <c r="F16" s="107" t="s">
        <v>199</v>
      </c>
      <c r="G16" s="107"/>
      <c r="H16" s="107" t="s">
        <v>200</v>
      </c>
      <c r="I16" s="107"/>
      <c r="J16" s="107" t="s">
        <v>201</v>
      </c>
      <c r="K16" s="108" t="s">
        <v>202</v>
      </c>
      <c r="L16" s="107" t="s">
        <v>92</v>
      </c>
      <c r="M16" s="111" t="s">
        <v>86</v>
      </c>
    </row>
    <row r="17" spans="2:13" x14ac:dyDescent="0.25">
      <c r="B17" s="107"/>
      <c r="C17" s="107"/>
      <c r="D17" s="107"/>
      <c r="E17" s="107"/>
      <c r="F17" s="107"/>
      <c r="G17" s="107"/>
      <c r="H17" s="107"/>
      <c r="I17" s="107"/>
      <c r="J17" s="107"/>
      <c r="K17" s="109"/>
      <c r="L17" s="107"/>
      <c r="M17" s="111"/>
    </row>
    <row r="18" spans="2:13" ht="38.25" x14ac:dyDescent="0.25">
      <c r="B18" s="110" t="s">
        <v>203</v>
      </c>
      <c r="C18" s="59" t="s">
        <v>99</v>
      </c>
      <c r="D18" s="18">
        <v>51</v>
      </c>
      <c r="E18" s="60">
        <f>D18*250000</f>
        <v>12750000</v>
      </c>
      <c r="F18" s="18">
        <v>43</v>
      </c>
      <c r="G18" s="61">
        <v>10093750</v>
      </c>
      <c r="H18" s="18">
        <v>5</v>
      </c>
      <c r="I18" s="60">
        <v>1406250</v>
      </c>
      <c r="J18" s="60">
        <v>500000</v>
      </c>
      <c r="K18" s="75">
        <v>3</v>
      </c>
      <c r="L18" s="60">
        <v>750000</v>
      </c>
      <c r="M18" s="38" t="s">
        <v>212</v>
      </c>
    </row>
    <row r="19" spans="2:13" ht="38.25" x14ac:dyDescent="0.25">
      <c r="B19" s="110"/>
      <c r="C19" s="59" t="s">
        <v>98</v>
      </c>
      <c r="D19" s="18">
        <v>41</v>
      </c>
      <c r="E19" s="60">
        <f t="shared" ref="E19" si="3">D19*250000</f>
        <v>10250000</v>
      </c>
      <c r="F19" s="18">
        <v>34</v>
      </c>
      <c r="G19" s="61">
        <v>8330000</v>
      </c>
      <c r="H19" s="18">
        <v>5</v>
      </c>
      <c r="I19" s="61">
        <v>1420000</v>
      </c>
      <c r="J19" s="59"/>
      <c r="K19" s="62">
        <v>2</v>
      </c>
      <c r="L19" s="60">
        <v>500000</v>
      </c>
      <c r="M19" s="38" t="s">
        <v>213</v>
      </c>
    </row>
    <row r="20" spans="2:13" ht="25.5" x14ac:dyDescent="0.25">
      <c r="B20" s="110" t="s">
        <v>205</v>
      </c>
      <c r="C20" s="59" t="s">
        <v>99</v>
      </c>
      <c r="D20" s="29">
        <v>23</v>
      </c>
      <c r="E20" s="65">
        <f>D20*200000</f>
        <v>4600000</v>
      </c>
      <c r="F20" s="29">
        <v>21</v>
      </c>
      <c r="G20" s="66">
        <f>F20*200000</f>
        <v>4200000</v>
      </c>
      <c r="H20" s="29">
        <v>1</v>
      </c>
      <c r="I20" s="66">
        <v>200000</v>
      </c>
      <c r="J20" s="29"/>
      <c r="K20" s="27">
        <v>1</v>
      </c>
      <c r="L20" s="65">
        <v>200000</v>
      </c>
      <c r="M20" s="38" t="s">
        <v>214</v>
      </c>
    </row>
    <row r="21" spans="2:13" ht="25.5" x14ac:dyDescent="0.25">
      <c r="B21" s="110"/>
      <c r="C21" s="59" t="s">
        <v>98</v>
      </c>
      <c r="D21" s="29">
        <v>24</v>
      </c>
      <c r="E21" s="65">
        <f>D21*200000</f>
        <v>4800000</v>
      </c>
      <c r="F21" s="29">
        <v>20</v>
      </c>
      <c r="G21" s="66">
        <v>4400000</v>
      </c>
      <c r="H21" s="29">
        <v>3</v>
      </c>
      <c r="I21" s="66">
        <v>600000</v>
      </c>
      <c r="J21" s="65">
        <v>400000</v>
      </c>
      <c r="K21" s="67">
        <v>1</v>
      </c>
      <c r="L21" s="65">
        <v>200000</v>
      </c>
      <c r="M21" s="38" t="s">
        <v>206</v>
      </c>
    </row>
    <row r="22" spans="2:13" ht="90" x14ac:dyDescent="0.25">
      <c r="B22" s="110" t="s">
        <v>125</v>
      </c>
      <c r="C22" s="59" t="s">
        <v>99</v>
      </c>
      <c r="D22" s="29">
        <v>55</v>
      </c>
      <c r="E22" s="65">
        <f>D22*50000</f>
        <v>2750000</v>
      </c>
      <c r="F22" s="29">
        <v>41</v>
      </c>
      <c r="G22" s="66">
        <v>3050000</v>
      </c>
      <c r="H22" s="29">
        <v>14</v>
      </c>
      <c r="I22" s="66">
        <v>700000</v>
      </c>
      <c r="J22" s="65">
        <v>1050000</v>
      </c>
      <c r="K22" s="67"/>
      <c r="L22" s="65"/>
      <c r="M22" s="68" t="s">
        <v>207</v>
      </c>
    </row>
    <row r="23" spans="2:13" ht="30" x14ac:dyDescent="0.25">
      <c r="B23" s="110"/>
      <c r="C23" s="59" t="s">
        <v>208</v>
      </c>
      <c r="D23" s="29">
        <v>43</v>
      </c>
      <c r="E23" s="65">
        <f>D23*50000</f>
        <v>2150000</v>
      </c>
      <c r="F23" s="29">
        <f>D23-H23</f>
        <v>40</v>
      </c>
      <c r="G23" s="66">
        <v>1950000</v>
      </c>
      <c r="H23" s="29">
        <v>3</v>
      </c>
      <c r="I23" s="66">
        <v>150000</v>
      </c>
      <c r="J23" s="65">
        <v>50000</v>
      </c>
      <c r="K23" s="67"/>
      <c r="L23" s="65"/>
      <c r="M23" s="68" t="s">
        <v>209</v>
      </c>
    </row>
    <row r="24" spans="2:13" x14ac:dyDescent="0.25">
      <c r="B24" s="69" t="s">
        <v>210</v>
      </c>
      <c r="C24" s="69"/>
      <c r="D24" s="70">
        <f t="shared" ref="D24:G24" si="4">SUM(D18:D23)</f>
        <v>237</v>
      </c>
      <c r="E24" s="71">
        <f>SUM(E18:E23)</f>
        <v>37300000</v>
      </c>
      <c r="F24" s="70">
        <f t="shared" si="4"/>
        <v>199</v>
      </c>
      <c r="G24" s="71">
        <f t="shared" si="4"/>
        <v>32023750</v>
      </c>
      <c r="H24" s="70">
        <f>SUM(H18:H23)</f>
        <v>31</v>
      </c>
      <c r="I24" s="72">
        <f>E24-G24+J24</f>
        <v>7276250</v>
      </c>
      <c r="J24" s="71">
        <f t="shared" ref="J24:L24" si="5">SUM(J18:J23)</f>
        <v>2000000</v>
      </c>
      <c r="K24" s="70">
        <f>SUM(K18:K23)</f>
        <v>7</v>
      </c>
      <c r="L24" s="71">
        <f t="shared" si="5"/>
        <v>1650000</v>
      </c>
      <c r="M24" s="74"/>
    </row>
    <row r="27" spans="2:13" x14ac:dyDescent="0.25">
      <c r="B27" s="105" t="s">
        <v>215</v>
      </c>
      <c r="C27" s="105"/>
      <c r="D27" s="105"/>
      <c r="E27" s="105"/>
      <c r="F27" s="105"/>
      <c r="G27" s="105"/>
      <c r="H27" s="105"/>
      <c r="I27" s="105"/>
      <c r="J27" s="105"/>
      <c r="K27" s="105"/>
      <c r="L27" s="105"/>
      <c r="M27" s="105"/>
    </row>
    <row r="29" spans="2:13" x14ac:dyDescent="0.25">
      <c r="B29" s="107" t="s">
        <v>196</v>
      </c>
      <c r="C29" s="107" t="s">
        <v>197</v>
      </c>
      <c r="D29" s="107" t="s">
        <v>198</v>
      </c>
      <c r="E29" s="107"/>
      <c r="F29" s="107" t="s">
        <v>199</v>
      </c>
      <c r="G29" s="107"/>
      <c r="H29" s="107" t="s">
        <v>200</v>
      </c>
      <c r="I29" s="107"/>
      <c r="J29" s="107" t="s">
        <v>201</v>
      </c>
      <c r="K29" s="108" t="s">
        <v>202</v>
      </c>
      <c r="L29" s="107" t="s">
        <v>92</v>
      </c>
      <c r="M29" s="111" t="s">
        <v>86</v>
      </c>
    </row>
    <row r="30" spans="2:13" x14ac:dyDescent="0.25">
      <c r="B30" s="107"/>
      <c r="C30" s="107"/>
      <c r="D30" s="107"/>
      <c r="E30" s="107"/>
      <c r="F30" s="107"/>
      <c r="G30" s="107"/>
      <c r="H30" s="107"/>
      <c r="I30" s="107"/>
      <c r="J30" s="107"/>
      <c r="K30" s="109"/>
      <c r="L30" s="107"/>
      <c r="M30" s="111"/>
    </row>
    <row r="31" spans="2:13" ht="38.25" x14ac:dyDescent="0.25">
      <c r="B31" s="110" t="s">
        <v>203</v>
      </c>
      <c r="C31" s="59" t="s">
        <v>98</v>
      </c>
      <c r="D31" s="19">
        <v>43</v>
      </c>
      <c r="E31" s="60">
        <f>D31*250000</f>
        <v>10750000</v>
      </c>
      <c r="F31" s="18">
        <v>40</v>
      </c>
      <c r="G31" s="61">
        <v>10500000</v>
      </c>
      <c r="H31" s="18">
        <v>1</v>
      </c>
      <c r="I31" s="61">
        <v>250000</v>
      </c>
      <c r="J31" s="60">
        <v>100000</v>
      </c>
      <c r="K31" s="62">
        <v>2</v>
      </c>
      <c r="L31" s="60">
        <v>500000</v>
      </c>
      <c r="M31" s="38" t="s">
        <v>226</v>
      </c>
    </row>
    <row r="32" spans="2:13" ht="51" x14ac:dyDescent="0.25">
      <c r="B32" s="110"/>
      <c r="C32" s="59" t="s">
        <v>100</v>
      </c>
      <c r="D32" s="19">
        <v>42</v>
      </c>
      <c r="E32" s="60">
        <f>D32*250000</f>
        <v>10500000</v>
      </c>
      <c r="F32" s="18">
        <v>33</v>
      </c>
      <c r="G32" s="61">
        <v>8250000</v>
      </c>
      <c r="H32" s="18">
        <v>6</v>
      </c>
      <c r="I32" s="61">
        <v>1500000</v>
      </c>
      <c r="J32" s="65">
        <v>0</v>
      </c>
      <c r="K32" s="62">
        <v>3</v>
      </c>
      <c r="L32" s="60">
        <v>750000</v>
      </c>
      <c r="M32" s="38" t="s">
        <v>227</v>
      </c>
    </row>
    <row r="33" spans="2:15" ht="25.5" x14ac:dyDescent="0.25">
      <c r="B33" s="110" t="s">
        <v>205</v>
      </c>
      <c r="C33" s="59" t="s">
        <v>98</v>
      </c>
      <c r="D33" s="33">
        <v>27</v>
      </c>
      <c r="E33" s="65">
        <f>D33*200000</f>
        <v>5400000</v>
      </c>
      <c r="F33" s="29">
        <v>24</v>
      </c>
      <c r="G33" s="66">
        <v>5290000</v>
      </c>
      <c r="H33" s="29">
        <v>2</v>
      </c>
      <c r="I33" s="66">
        <v>310000</v>
      </c>
      <c r="J33" s="65">
        <v>400000</v>
      </c>
      <c r="K33" s="67">
        <v>1</v>
      </c>
      <c r="L33" s="65">
        <v>200000</v>
      </c>
      <c r="M33" s="38" t="s">
        <v>206</v>
      </c>
      <c r="O33" s="71"/>
    </row>
    <row r="34" spans="2:15" ht="63.75" x14ac:dyDescent="0.25">
      <c r="B34" s="110"/>
      <c r="C34" s="59" t="s">
        <v>100</v>
      </c>
      <c r="D34" s="33">
        <v>26</v>
      </c>
      <c r="E34" s="65">
        <f>D34*200000</f>
        <v>5200000</v>
      </c>
      <c r="F34" s="29">
        <v>25</v>
      </c>
      <c r="G34" s="66">
        <v>4710000</v>
      </c>
      <c r="H34" s="29">
        <v>0</v>
      </c>
      <c r="I34" s="66">
        <v>0</v>
      </c>
      <c r="J34" s="65">
        <v>110000</v>
      </c>
      <c r="K34" s="67">
        <v>1</v>
      </c>
      <c r="L34" s="65">
        <v>200000</v>
      </c>
      <c r="M34" s="38" t="s">
        <v>219</v>
      </c>
    </row>
    <row r="35" spans="2:15" ht="30" x14ac:dyDescent="0.25">
      <c r="B35" s="110" t="s">
        <v>125</v>
      </c>
      <c r="C35" s="59" t="s">
        <v>208</v>
      </c>
      <c r="D35" s="33">
        <v>43</v>
      </c>
      <c r="E35" s="65">
        <f>D35*50000</f>
        <v>2150000</v>
      </c>
      <c r="F35" s="29">
        <v>39</v>
      </c>
      <c r="G35" s="66">
        <v>2000000</v>
      </c>
      <c r="H35" s="29">
        <v>2</v>
      </c>
      <c r="I35" s="66">
        <v>100000</v>
      </c>
      <c r="J35" s="65">
        <v>50000</v>
      </c>
      <c r="K35" s="67">
        <v>2</v>
      </c>
      <c r="L35" s="65">
        <v>100000</v>
      </c>
      <c r="M35" s="68" t="s">
        <v>209</v>
      </c>
      <c r="O35" s="77"/>
    </row>
    <row r="36" spans="2:15" ht="45" x14ac:dyDescent="0.25">
      <c r="B36" s="110"/>
      <c r="C36" s="59" t="s">
        <v>216</v>
      </c>
      <c r="D36" s="33">
        <v>40</v>
      </c>
      <c r="E36" s="65">
        <f>D36*50000</f>
        <v>2000000</v>
      </c>
      <c r="F36" s="29">
        <v>38</v>
      </c>
      <c r="G36" s="66">
        <v>1900000</v>
      </c>
      <c r="H36" s="29">
        <v>0</v>
      </c>
      <c r="I36" s="66">
        <v>0</v>
      </c>
      <c r="J36" s="65">
        <v>0</v>
      </c>
      <c r="K36" s="67">
        <v>2</v>
      </c>
      <c r="L36" s="65">
        <v>100000</v>
      </c>
      <c r="M36" s="68" t="s">
        <v>221</v>
      </c>
    </row>
    <row r="37" spans="2:15" x14ac:dyDescent="0.25">
      <c r="B37" s="69" t="s">
        <v>210</v>
      </c>
      <c r="C37" s="69"/>
      <c r="D37" s="70">
        <f>SUM(D31:D36)</f>
        <v>221</v>
      </c>
      <c r="E37" s="71">
        <f>SUM(E31:E36)</f>
        <v>36000000</v>
      </c>
      <c r="F37" s="70">
        <f>SUM(F31:F36)</f>
        <v>199</v>
      </c>
      <c r="G37" s="71">
        <f>SUM(G31:G36)</f>
        <v>32650000</v>
      </c>
      <c r="H37" s="70">
        <f>SUM(H31:H36)</f>
        <v>11</v>
      </c>
      <c r="I37" s="72">
        <f>SUM(I31:I36)</f>
        <v>2160000</v>
      </c>
      <c r="J37" s="71">
        <f>SUM(J31:J36)</f>
        <v>660000</v>
      </c>
      <c r="K37" s="70">
        <f>SUM(K31:K36)</f>
        <v>11</v>
      </c>
      <c r="L37" s="71">
        <f>SUM(L31:L36)</f>
        <v>1850000</v>
      </c>
      <c r="M37" s="74"/>
    </row>
  </sheetData>
  <mergeCells count="40">
    <mergeCell ref="M29:M30"/>
    <mergeCell ref="B31:B32"/>
    <mergeCell ref="B33:B34"/>
    <mergeCell ref="B35:B36"/>
    <mergeCell ref="B22:B23"/>
    <mergeCell ref="B27:M27"/>
    <mergeCell ref="B29:B30"/>
    <mergeCell ref="C29:C30"/>
    <mergeCell ref="D29:E30"/>
    <mergeCell ref="F29:G30"/>
    <mergeCell ref="H29:I30"/>
    <mergeCell ref="J29:J30"/>
    <mergeCell ref="K29:K30"/>
    <mergeCell ref="L29:L30"/>
    <mergeCell ref="B20:B21"/>
    <mergeCell ref="M4:M5"/>
    <mergeCell ref="B6:B7"/>
    <mergeCell ref="B8:B9"/>
    <mergeCell ref="B10:B11"/>
    <mergeCell ref="B14:M14"/>
    <mergeCell ref="B16:B17"/>
    <mergeCell ref="C16:C17"/>
    <mergeCell ref="D16:E17"/>
    <mergeCell ref="F16:G17"/>
    <mergeCell ref="H16:I17"/>
    <mergeCell ref="J16:J17"/>
    <mergeCell ref="K16:K17"/>
    <mergeCell ref="L16:L17"/>
    <mergeCell ref="M16:M17"/>
    <mergeCell ref="B18:B19"/>
    <mergeCell ref="B2:M2"/>
    <mergeCell ref="A4:A5"/>
    <mergeCell ref="B4:B5"/>
    <mergeCell ref="C4:C5"/>
    <mergeCell ref="D4:E5"/>
    <mergeCell ref="F4:G5"/>
    <mergeCell ref="H4:I5"/>
    <mergeCell ref="J4:J5"/>
    <mergeCell ref="K4:K5"/>
    <mergeCell ref="L4:L5"/>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D8D36-11DB-4950-8A22-DB817BB17147}">
  <sheetPr>
    <tabColor rgb="FFFF0000"/>
  </sheetPr>
  <dimension ref="A1:H28"/>
  <sheetViews>
    <sheetView topLeftCell="A4" workbookViewId="0">
      <selection activeCell="I10" sqref="I10"/>
    </sheetView>
  </sheetViews>
  <sheetFormatPr defaultRowHeight="15" x14ac:dyDescent="0.25"/>
  <cols>
    <col min="1" max="1" width="4.7109375" style="6" customWidth="1"/>
    <col min="2" max="2" width="14.7109375" customWidth="1"/>
    <col min="3" max="3" width="9.85546875" customWidth="1"/>
    <col min="4" max="4" width="11.28515625" customWidth="1"/>
    <col min="5" max="5" width="11.42578125" customWidth="1"/>
    <col min="6" max="6" width="11.85546875" customWidth="1"/>
    <col min="7" max="7" width="11.5703125" customWidth="1"/>
    <col min="8" max="8" width="25.42578125" customWidth="1"/>
  </cols>
  <sheetData>
    <row r="1" spans="1:8" ht="25.5" x14ac:dyDescent="0.25">
      <c r="A1" s="23" t="s">
        <v>85</v>
      </c>
      <c r="B1" s="8" t="s">
        <v>1</v>
      </c>
      <c r="C1" s="8" t="s">
        <v>2</v>
      </c>
      <c r="D1" s="8" t="s">
        <v>84</v>
      </c>
      <c r="E1" s="22" t="s">
        <v>109</v>
      </c>
      <c r="F1" s="22" t="s">
        <v>116</v>
      </c>
      <c r="G1" s="22" t="s">
        <v>115</v>
      </c>
      <c r="H1" s="8" t="s">
        <v>86</v>
      </c>
    </row>
    <row r="2" spans="1:8" x14ac:dyDescent="0.25">
      <c r="A2" s="24">
        <v>1</v>
      </c>
      <c r="B2" s="25" t="s">
        <v>12</v>
      </c>
      <c r="C2" s="26">
        <v>80119656</v>
      </c>
      <c r="D2" s="26" t="s">
        <v>4</v>
      </c>
      <c r="E2" s="42">
        <v>45967</v>
      </c>
      <c r="F2" s="20" t="s">
        <v>117</v>
      </c>
      <c r="G2" s="20">
        <v>5209009001</v>
      </c>
      <c r="H2" s="26"/>
    </row>
    <row r="3" spans="1:8" x14ac:dyDescent="0.25">
      <c r="A3" s="24">
        <f>A2+1</f>
        <v>2</v>
      </c>
      <c r="B3" s="25" t="s">
        <v>6</v>
      </c>
      <c r="C3" s="26">
        <v>85286700</v>
      </c>
      <c r="D3" s="26" t="s">
        <v>4</v>
      </c>
      <c r="E3" s="42">
        <v>45965</v>
      </c>
      <c r="F3" s="20" t="s">
        <v>117</v>
      </c>
      <c r="G3" s="20">
        <v>5209009001</v>
      </c>
      <c r="H3" s="26"/>
    </row>
    <row r="4" spans="1:8" x14ac:dyDescent="0.25">
      <c r="A4" s="27">
        <f>A3+1</f>
        <v>3</v>
      </c>
      <c r="B4" s="28" t="s">
        <v>15</v>
      </c>
      <c r="C4" s="29">
        <v>98111391</v>
      </c>
      <c r="D4" s="29" t="s">
        <v>4</v>
      </c>
      <c r="E4" s="44"/>
      <c r="F4" s="21"/>
      <c r="G4" s="21"/>
      <c r="H4" s="26" t="s">
        <v>93</v>
      </c>
    </row>
    <row r="5" spans="1:8" x14ac:dyDescent="0.25">
      <c r="A5" s="27">
        <f t="shared" ref="A5:A28" si="0">A4+1</f>
        <v>4</v>
      </c>
      <c r="B5" s="25" t="s">
        <v>13</v>
      </c>
      <c r="C5" s="26">
        <v>91141977</v>
      </c>
      <c r="D5" s="26" t="s">
        <v>4</v>
      </c>
      <c r="E5" s="42">
        <v>45965</v>
      </c>
      <c r="F5" s="20"/>
      <c r="G5" s="20"/>
      <c r="H5" s="26"/>
    </row>
    <row r="6" spans="1:8" ht="25.5" x14ac:dyDescent="0.25">
      <c r="A6" s="27">
        <f t="shared" si="0"/>
        <v>5</v>
      </c>
      <c r="B6" s="30" t="s">
        <v>79</v>
      </c>
      <c r="C6" s="29">
        <v>99085525</v>
      </c>
      <c r="D6" s="29" t="s">
        <v>4</v>
      </c>
      <c r="E6" s="45">
        <v>45985</v>
      </c>
      <c r="F6" s="40" t="s">
        <v>117</v>
      </c>
      <c r="G6" s="40">
        <v>5209009001</v>
      </c>
      <c r="H6" s="31" t="s">
        <v>105</v>
      </c>
    </row>
    <row r="7" spans="1:8" x14ac:dyDescent="0.25">
      <c r="A7" s="27">
        <f t="shared" si="0"/>
        <v>6</v>
      </c>
      <c r="B7" s="25" t="s">
        <v>22</v>
      </c>
      <c r="C7" s="26">
        <v>89102748</v>
      </c>
      <c r="D7" s="26" t="s">
        <v>4</v>
      </c>
      <c r="E7" s="42">
        <v>45989</v>
      </c>
      <c r="F7" s="20" t="s">
        <v>117</v>
      </c>
      <c r="G7" s="20">
        <v>5209009001</v>
      </c>
      <c r="H7" s="26"/>
    </row>
    <row r="8" spans="1:8" x14ac:dyDescent="0.25">
      <c r="A8" s="27">
        <f t="shared" si="0"/>
        <v>7</v>
      </c>
      <c r="B8" s="25" t="s">
        <v>8</v>
      </c>
      <c r="C8" s="26">
        <v>99152589</v>
      </c>
      <c r="D8" s="26" t="s">
        <v>4</v>
      </c>
      <c r="E8" s="42">
        <v>45981</v>
      </c>
      <c r="F8" s="20" t="s">
        <v>117</v>
      </c>
      <c r="G8" s="20">
        <v>5209009001</v>
      </c>
      <c r="H8" s="26"/>
    </row>
    <row r="9" spans="1:8" x14ac:dyDescent="0.25">
      <c r="A9" s="27">
        <f t="shared" si="0"/>
        <v>8</v>
      </c>
      <c r="B9" s="25" t="s">
        <v>16</v>
      </c>
      <c r="C9" s="26">
        <v>99001785</v>
      </c>
      <c r="D9" s="26" t="s">
        <v>4</v>
      </c>
      <c r="E9" s="42">
        <v>45967</v>
      </c>
      <c r="F9" s="20" t="s">
        <v>117</v>
      </c>
      <c r="G9" s="20">
        <v>5209009001</v>
      </c>
      <c r="H9" s="26"/>
    </row>
    <row r="10" spans="1:8" x14ac:dyDescent="0.25">
      <c r="A10" s="27">
        <f t="shared" si="0"/>
        <v>9</v>
      </c>
      <c r="B10" s="25" t="s">
        <v>24</v>
      </c>
      <c r="C10" s="26">
        <v>98111391</v>
      </c>
      <c r="D10" s="26" t="s">
        <v>4</v>
      </c>
      <c r="E10" s="42">
        <v>45986</v>
      </c>
      <c r="F10" s="20" t="s">
        <v>117</v>
      </c>
      <c r="G10" s="20">
        <v>5209009001</v>
      </c>
      <c r="H10" s="26"/>
    </row>
    <row r="11" spans="1:8" x14ac:dyDescent="0.25">
      <c r="A11" s="27">
        <f t="shared" si="0"/>
        <v>10</v>
      </c>
      <c r="B11" s="25" t="s">
        <v>5</v>
      </c>
      <c r="C11" s="26">
        <v>85850470</v>
      </c>
      <c r="D11" s="26" t="s">
        <v>4</v>
      </c>
      <c r="E11" s="42">
        <v>45939</v>
      </c>
      <c r="F11" s="20" t="s">
        <v>118</v>
      </c>
      <c r="G11" s="20">
        <v>5163731642</v>
      </c>
      <c r="H11" s="26"/>
    </row>
    <row r="12" spans="1:8" x14ac:dyDescent="0.25">
      <c r="A12" s="27">
        <f t="shared" si="0"/>
        <v>11</v>
      </c>
      <c r="B12" s="25" t="s">
        <v>10</v>
      </c>
      <c r="C12" s="26">
        <v>88104755</v>
      </c>
      <c r="D12" s="26" t="s">
        <v>4</v>
      </c>
      <c r="E12" s="42">
        <v>45965</v>
      </c>
      <c r="F12" s="20" t="s">
        <v>117</v>
      </c>
      <c r="G12" s="20">
        <v>5209009001</v>
      </c>
      <c r="H12" s="26"/>
    </row>
    <row r="13" spans="1:8" x14ac:dyDescent="0.25">
      <c r="A13" s="27">
        <f t="shared" si="0"/>
        <v>12</v>
      </c>
      <c r="B13" s="25" t="s">
        <v>21</v>
      </c>
      <c r="C13" s="26">
        <v>88104755</v>
      </c>
      <c r="D13" s="26" t="s">
        <v>4</v>
      </c>
      <c r="E13" s="43">
        <v>45972</v>
      </c>
      <c r="F13" s="20" t="s">
        <v>117</v>
      </c>
      <c r="G13" s="20">
        <v>5209009001</v>
      </c>
      <c r="H13" s="26"/>
    </row>
    <row r="14" spans="1:8" x14ac:dyDescent="0.25">
      <c r="A14" s="27">
        <f t="shared" si="0"/>
        <v>13</v>
      </c>
      <c r="B14" s="25" t="s">
        <v>82</v>
      </c>
      <c r="C14" s="26">
        <v>99545040</v>
      </c>
      <c r="D14" s="26" t="s">
        <v>4</v>
      </c>
      <c r="E14" s="42">
        <v>45967</v>
      </c>
      <c r="F14" s="20" t="s">
        <v>117</v>
      </c>
      <c r="G14" s="20">
        <v>5209009001</v>
      </c>
      <c r="H14" s="26"/>
    </row>
    <row r="15" spans="1:8" ht="25.5" x14ac:dyDescent="0.25">
      <c r="A15" s="27">
        <f t="shared" si="0"/>
        <v>14</v>
      </c>
      <c r="B15" s="30" t="s">
        <v>104</v>
      </c>
      <c r="C15" s="29">
        <v>88390949</v>
      </c>
      <c r="D15" s="29" t="s">
        <v>4</v>
      </c>
      <c r="E15" s="45">
        <v>45985</v>
      </c>
      <c r="F15" s="40" t="s">
        <v>117</v>
      </c>
      <c r="G15" s="40">
        <v>5209009001</v>
      </c>
      <c r="H15" s="31" t="s">
        <v>105</v>
      </c>
    </row>
    <row r="16" spans="1:8" ht="38.25" x14ac:dyDescent="0.25">
      <c r="A16" s="27">
        <f t="shared" si="0"/>
        <v>15</v>
      </c>
      <c r="B16" s="28" t="s">
        <v>20</v>
      </c>
      <c r="C16" s="29">
        <v>88066908</v>
      </c>
      <c r="D16" s="29" t="s">
        <v>4</v>
      </c>
      <c r="E16" s="45">
        <v>45981</v>
      </c>
      <c r="F16" s="40" t="s">
        <v>117</v>
      </c>
      <c r="G16" s="40">
        <v>5209009001</v>
      </c>
      <c r="H16" s="31" t="s">
        <v>110</v>
      </c>
    </row>
    <row r="17" spans="1:8" x14ac:dyDescent="0.25">
      <c r="A17" s="27">
        <f t="shared" si="0"/>
        <v>16</v>
      </c>
      <c r="B17" s="32" t="s">
        <v>80</v>
      </c>
      <c r="C17" s="26">
        <v>99904448</v>
      </c>
      <c r="D17" s="26" t="s">
        <v>4</v>
      </c>
      <c r="E17" s="83">
        <v>45975</v>
      </c>
      <c r="F17" s="84" t="s">
        <v>118</v>
      </c>
      <c r="G17" s="84">
        <v>5027586600</v>
      </c>
      <c r="H17" s="26"/>
    </row>
    <row r="18" spans="1:8" x14ac:dyDescent="0.25">
      <c r="A18" s="27">
        <f t="shared" si="0"/>
        <v>17</v>
      </c>
      <c r="B18" s="25" t="s">
        <v>9</v>
      </c>
      <c r="C18" s="26">
        <v>89565665</v>
      </c>
      <c r="D18" s="26" t="s">
        <v>4</v>
      </c>
      <c r="E18" s="42">
        <v>45965</v>
      </c>
      <c r="F18" s="20" t="s">
        <v>117</v>
      </c>
      <c r="G18" s="20">
        <v>5209009001</v>
      </c>
      <c r="H18" s="26"/>
    </row>
    <row r="19" spans="1:8" x14ac:dyDescent="0.25">
      <c r="A19" s="27">
        <f t="shared" si="0"/>
        <v>18</v>
      </c>
      <c r="B19" s="32" t="s">
        <v>81</v>
      </c>
      <c r="C19" s="26">
        <v>80035055</v>
      </c>
      <c r="D19" s="26" t="s">
        <v>4</v>
      </c>
      <c r="E19" s="42">
        <v>45967</v>
      </c>
      <c r="F19" s="20" t="s">
        <v>117</v>
      </c>
      <c r="G19" s="20">
        <v>5209009001</v>
      </c>
      <c r="H19" s="26"/>
    </row>
    <row r="20" spans="1:8" x14ac:dyDescent="0.25">
      <c r="A20" s="27">
        <f t="shared" si="0"/>
        <v>19</v>
      </c>
      <c r="B20" s="25" t="s">
        <v>3</v>
      </c>
      <c r="C20" s="26">
        <v>99028960</v>
      </c>
      <c r="D20" s="26" t="s">
        <v>4</v>
      </c>
      <c r="E20" s="42">
        <v>45986</v>
      </c>
      <c r="F20" s="20" t="s">
        <v>117</v>
      </c>
      <c r="G20" s="20">
        <v>5209009001</v>
      </c>
      <c r="H20" s="26"/>
    </row>
    <row r="21" spans="1:8" x14ac:dyDescent="0.25">
      <c r="A21" s="27">
        <f t="shared" si="0"/>
        <v>20</v>
      </c>
      <c r="B21" s="25" t="s">
        <v>23</v>
      </c>
      <c r="C21" s="26">
        <v>99099666</v>
      </c>
      <c r="D21" s="26" t="s">
        <v>4</v>
      </c>
      <c r="E21" s="42">
        <v>45981</v>
      </c>
      <c r="F21" s="20"/>
      <c r="G21" s="20"/>
      <c r="H21" s="26"/>
    </row>
    <row r="22" spans="1:8" ht="51" x14ac:dyDescent="0.25">
      <c r="A22" s="27">
        <f t="shared" si="0"/>
        <v>21</v>
      </c>
      <c r="B22" s="30" t="s">
        <v>97</v>
      </c>
      <c r="C22" s="33"/>
      <c r="D22" s="33" t="s">
        <v>27</v>
      </c>
      <c r="E22" s="43">
        <v>45970</v>
      </c>
      <c r="F22" s="47" t="s">
        <v>118</v>
      </c>
      <c r="G22" s="19">
        <v>5027586600</v>
      </c>
      <c r="H22" s="34" t="s">
        <v>113</v>
      </c>
    </row>
    <row r="23" spans="1:8" ht="51" x14ac:dyDescent="0.25">
      <c r="A23" s="27">
        <f t="shared" si="0"/>
        <v>22</v>
      </c>
      <c r="B23" s="28" t="s">
        <v>11</v>
      </c>
      <c r="C23" s="29">
        <v>94063344</v>
      </c>
      <c r="D23" s="29" t="s">
        <v>4</v>
      </c>
      <c r="E23" s="46"/>
      <c r="F23" s="24"/>
      <c r="G23" s="24"/>
      <c r="H23" s="38" t="s">
        <v>106</v>
      </c>
    </row>
    <row r="24" spans="1:8" x14ac:dyDescent="0.25">
      <c r="A24" s="27">
        <f t="shared" si="0"/>
        <v>23</v>
      </c>
      <c r="B24" s="25" t="s">
        <v>19</v>
      </c>
      <c r="C24" s="26">
        <v>99741056</v>
      </c>
      <c r="D24" s="26" t="s">
        <v>4</v>
      </c>
      <c r="E24" s="44"/>
      <c r="F24" s="20"/>
      <c r="G24" s="20"/>
      <c r="H24" s="26"/>
    </row>
    <row r="25" spans="1:8" s="4" customFormat="1" x14ac:dyDescent="0.25">
      <c r="A25" s="27">
        <f t="shared" si="0"/>
        <v>24</v>
      </c>
      <c r="B25" s="25" t="s">
        <v>18</v>
      </c>
      <c r="C25" s="26">
        <v>96698894</v>
      </c>
      <c r="D25" s="26" t="s">
        <v>4</v>
      </c>
      <c r="E25" s="42">
        <v>45967</v>
      </c>
      <c r="F25" s="20" t="s">
        <v>117</v>
      </c>
      <c r="G25" s="20">
        <v>5209009001</v>
      </c>
      <c r="H25" s="26"/>
    </row>
    <row r="26" spans="1:8" s="4" customFormat="1" x14ac:dyDescent="0.25">
      <c r="A26" s="27">
        <f t="shared" si="0"/>
        <v>25</v>
      </c>
      <c r="B26" s="25" t="s">
        <v>7</v>
      </c>
      <c r="C26" s="26">
        <v>99894478</v>
      </c>
      <c r="D26" s="26" t="s">
        <v>4</v>
      </c>
      <c r="E26" s="42">
        <v>45944</v>
      </c>
      <c r="F26" s="20" t="s">
        <v>118</v>
      </c>
      <c r="G26" s="20">
        <v>5163731642</v>
      </c>
      <c r="H26" s="26"/>
    </row>
    <row r="27" spans="1:8" s="4" customFormat="1" x14ac:dyDescent="0.25">
      <c r="A27" s="27">
        <f t="shared" si="0"/>
        <v>26</v>
      </c>
      <c r="B27" s="25" t="s">
        <v>17</v>
      </c>
      <c r="C27" s="26">
        <v>91270479</v>
      </c>
      <c r="D27" s="26" t="s">
        <v>4</v>
      </c>
      <c r="E27" s="42">
        <v>45971</v>
      </c>
      <c r="F27" s="20"/>
      <c r="G27" s="20"/>
      <c r="H27" s="26"/>
    </row>
    <row r="28" spans="1:8" x14ac:dyDescent="0.25">
      <c r="A28" s="27">
        <f t="shared" si="0"/>
        <v>27</v>
      </c>
      <c r="B28" s="25" t="s">
        <v>14</v>
      </c>
      <c r="C28" s="26">
        <v>95951468</v>
      </c>
      <c r="D28" s="26" t="s">
        <v>4</v>
      </c>
      <c r="E28" s="42">
        <v>45967</v>
      </c>
      <c r="F28" s="20" t="s">
        <v>117</v>
      </c>
      <c r="G28" s="20">
        <v>5209009001</v>
      </c>
      <c r="H28" s="26"/>
    </row>
  </sheetData>
  <autoFilter ref="A1:H32" xr:uid="{704D8D36-11DB-4950-8A22-DB817BB17147}"/>
  <dataValidations count="1">
    <dataValidation type="list" allowBlank="1" showInputMessage="1" showErrorMessage="1" sqref="F2:F28" xr:uid="{6B329AC0-0321-4B35-B102-E7FB23CF6C41}">
      <formula1>"Хаан,Голомт"</formula1>
    </dataValidation>
  </dataValidation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B94CA-6D0D-48F2-8079-4368CB867077}">
  <sheetPr>
    <tabColor rgb="FFFF0000"/>
  </sheetPr>
  <dimension ref="A1:K66"/>
  <sheetViews>
    <sheetView zoomScale="104" workbookViewId="0">
      <selection activeCell="M17" sqref="M17"/>
    </sheetView>
  </sheetViews>
  <sheetFormatPr defaultRowHeight="15" x14ac:dyDescent="0.25"/>
  <cols>
    <col min="1" max="1" width="4.5703125" customWidth="1"/>
    <col min="2" max="2" width="14" customWidth="1"/>
    <col min="3" max="3" width="9.140625" bestFit="1" customWidth="1"/>
    <col min="4" max="4" width="15.28515625" customWidth="1"/>
    <col min="5" max="5" width="10" customWidth="1"/>
    <col min="6" max="6" width="12.5703125" bestFit="1" customWidth="1"/>
    <col min="7" max="7" width="15.42578125" customWidth="1"/>
    <col min="8" max="8" width="16.140625" customWidth="1"/>
    <col min="10" max="10" width="11.42578125" customWidth="1"/>
    <col min="11" max="11" width="36.5703125" customWidth="1"/>
  </cols>
  <sheetData>
    <row r="1" spans="1:11" ht="38.25" x14ac:dyDescent="0.25">
      <c r="A1" s="8" t="s">
        <v>0</v>
      </c>
      <c r="B1" s="8" t="s">
        <v>1</v>
      </c>
      <c r="C1" s="8" t="s">
        <v>2</v>
      </c>
      <c r="D1" s="8" t="s">
        <v>120</v>
      </c>
      <c r="E1" s="8" t="s">
        <v>100</v>
      </c>
      <c r="F1" s="9" t="s">
        <v>121</v>
      </c>
      <c r="G1" s="8" t="s">
        <v>122</v>
      </c>
      <c r="H1" s="8" t="s">
        <v>123</v>
      </c>
      <c r="I1" s="22" t="s">
        <v>116</v>
      </c>
      <c r="J1" s="22" t="s">
        <v>115</v>
      </c>
      <c r="K1" s="22" t="s">
        <v>86</v>
      </c>
    </row>
    <row r="2" spans="1:11" x14ac:dyDescent="0.25">
      <c r="A2" s="10">
        <v>1</v>
      </c>
      <c r="B2" s="15" t="s">
        <v>158</v>
      </c>
      <c r="C2" s="11"/>
      <c r="D2" s="10" t="s">
        <v>125</v>
      </c>
      <c r="E2" s="19" t="s">
        <v>90</v>
      </c>
      <c r="F2" s="13">
        <v>50000</v>
      </c>
      <c r="G2" s="17">
        <v>45962</v>
      </c>
      <c r="H2" s="19" t="s">
        <v>111</v>
      </c>
      <c r="I2" s="20" t="s">
        <v>118</v>
      </c>
      <c r="J2" s="21">
        <v>5163731646</v>
      </c>
      <c r="K2" s="18"/>
    </row>
    <row r="3" spans="1:11" x14ac:dyDescent="0.25">
      <c r="A3" s="10">
        <f t="shared" ref="A3:A16" si="0">A2+1</f>
        <v>2</v>
      </c>
      <c r="B3" s="15" t="s">
        <v>155</v>
      </c>
      <c r="C3" s="11"/>
      <c r="D3" s="10" t="s">
        <v>125</v>
      </c>
      <c r="E3" s="19" t="s">
        <v>94</v>
      </c>
      <c r="F3" s="15"/>
      <c r="G3" s="15"/>
      <c r="H3" s="19"/>
      <c r="I3" s="19"/>
      <c r="J3" s="19"/>
      <c r="K3" s="18"/>
    </row>
    <row r="4" spans="1:11" x14ac:dyDescent="0.25">
      <c r="A4" s="10">
        <f t="shared" si="0"/>
        <v>3</v>
      </c>
      <c r="B4" s="15" t="s">
        <v>189</v>
      </c>
      <c r="C4" s="11"/>
      <c r="D4" s="10" t="s">
        <v>125</v>
      </c>
      <c r="E4" s="19" t="s">
        <v>94</v>
      </c>
      <c r="F4" s="15"/>
      <c r="G4" s="15"/>
      <c r="H4" s="19"/>
      <c r="I4" s="19"/>
      <c r="J4" s="19"/>
      <c r="K4" s="18"/>
    </row>
    <row r="5" spans="1:11" x14ac:dyDescent="0.25">
      <c r="A5" s="10">
        <f t="shared" si="0"/>
        <v>4</v>
      </c>
      <c r="B5" s="15" t="s">
        <v>168</v>
      </c>
      <c r="C5" s="11"/>
      <c r="D5" s="10" t="s">
        <v>125</v>
      </c>
      <c r="E5" s="19" t="s">
        <v>90</v>
      </c>
      <c r="F5" s="13">
        <v>50000</v>
      </c>
      <c r="G5" s="17">
        <v>45976</v>
      </c>
      <c r="H5" s="19" t="s">
        <v>111</v>
      </c>
      <c r="I5" s="20" t="s">
        <v>118</v>
      </c>
      <c r="J5" s="21">
        <v>5163731653</v>
      </c>
      <c r="K5" s="18"/>
    </row>
    <row r="6" spans="1:11" x14ac:dyDescent="0.25">
      <c r="A6" s="10">
        <f t="shared" si="0"/>
        <v>5</v>
      </c>
      <c r="B6" s="15" t="s">
        <v>134</v>
      </c>
      <c r="C6" s="11"/>
      <c r="D6" s="10" t="s">
        <v>125</v>
      </c>
      <c r="E6" s="19" t="s">
        <v>90</v>
      </c>
      <c r="F6" s="13">
        <v>50000</v>
      </c>
      <c r="G6" s="17">
        <v>45966</v>
      </c>
      <c r="H6" s="19" t="s">
        <v>111</v>
      </c>
      <c r="I6" s="20" t="s">
        <v>117</v>
      </c>
      <c r="J6" s="21">
        <v>5209009001</v>
      </c>
      <c r="K6" s="18"/>
    </row>
    <row r="7" spans="1:11" x14ac:dyDescent="0.25">
      <c r="A7" s="10">
        <f t="shared" si="0"/>
        <v>6</v>
      </c>
      <c r="B7" s="15" t="s">
        <v>131</v>
      </c>
      <c r="C7" s="11">
        <v>94114574</v>
      </c>
      <c r="D7" s="10" t="s">
        <v>125</v>
      </c>
      <c r="E7" s="19" t="s">
        <v>94</v>
      </c>
      <c r="F7" s="15"/>
      <c r="G7" s="17"/>
      <c r="H7" s="19"/>
      <c r="I7" s="19"/>
      <c r="J7" s="19"/>
      <c r="K7" s="18"/>
    </row>
    <row r="8" spans="1:11" x14ac:dyDescent="0.25">
      <c r="A8" s="10">
        <f t="shared" si="0"/>
        <v>7</v>
      </c>
      <c r="B8" s="15" t="s">
        <v>147</v>
      </c>
      <c r="C8" s="11">
        <v>88092290</v>
      </c>
      <c r="D8" s="10" t="s">
        <v>125</v>
      </c>
      <c r="E8" s="19" t="s">
        <v>90</v>
      </c>
      <c r="F8" s="13">
        <v>50000</v>
      </c>
      <c r="G8" s="17">
        <v>45969</v>
      </c>
      <c r="H8" s="19" t="s">
        <v>111</v>
      </c>
      <c r="I8" s="20" t="s">
        <v>117</v>
      </c>
      <c r="J8" s="21">
        <v>5209009001</v>
      </c>
      <c r="K8" s="18"/>
    </row>
    <row r="9" spans="1:11" x14ac:dyDescent="0.25">
      <c r="A9" s="10">
        <f t="shared" si="0"/>
        <v>8</v>
      </c>
      <c r="B9" s="15" t="s">
        <v>167</v>
      </c>
      <c r="C9" s="11">
        <v>80111295</v>
      </c>
      <c r="D9" s="10" t="s">
        <v>125</v>
      </c>
      <c r="E9" s="19" t="s">
        <v>90</v>
      </c>
      <c r="F9" s="13">
        <v>50000</v>
      </c>
      <c r="G9" s="17">
        <v>45962</v>
      </c>
      <c r="H9" s="19" t="s">
        <v>111</v>
      </c>
      <c r="I9" s="20" t="s">
        <v>117</v>
      </c>
      <c r="J9" s="21">
        <v>5209009001</v>
      </c>
      <c r="K9" s="18"/>
    </row>
    <row r="10" spans="1:11" x14ac:dyDescent="0.25">
      <c r="A10" s="10">
        <f t="shared" si="0"/>
        <v>9</v>
      </c>
      <c r="B10" s="15" t="s">
        <v>180</v>
      </c>
      <c r="C10" s="11"/>
      <c r="D10" s="10" t="s">
        <v>125</v>
      </c>
      <c r="E10" s="19" t="s">
        <v>94</v>
      </c>
      <c r="F10" s="15"/>
      <c r="G10" s="17"/>
      <c r="H10" s="19"/>
      <c r="I10" s="19"/>
      <c r="J10" s="19"/>
      <c r="K10" s="18"/>
    </row>
    <row r="11" spans="1:11" x14ac:dyDescent="0.25">
      <c r="A11" s="10">
        <f t="shared" si="0"/>
        <v>10</v>
      </c>
      <c r="B11" s="15" t="s">
        <v>186</v>
      </c>
      <c r="C11" s="11"/>
      <c r="D11" s="10" t="s">
        <v>125</v>
      </c>
      <c r="E11" s="19" t="s">
        <v>94</v>
      </c>
      <c r="F11" s="15"/>
      <c r="G11" s="15"/>
      <c r="H11" s="19"/>
      <c r="I11" s="19"/>
      <c r="J11" s="19"/>
      <c r="K11" s="18"/>
    </row>
    <row r="12" spans="1:11" x14ac:dyDescent="0.25">
      <c r="A12" s="10">
        <f t="shared" si="0"/>
        <v>11</v>
      </c>
      <c r="B12" s="15" t="s">
        <v>177</v>
      </c>
      <c r="C12" s="11"/>
      <c r="D12" s="10" t="s">
        <v>125</v>
      </c>
      <c r="E12" s="19" t="s">
        <v>94</v>
      </c>
      <c r="F12" s="15"/>
      <c r="G12" s="15"/>
      <c r="H12" s="19"/>
      <c r="I12" s="19"/>
      <c r="J12" s="19"/>
      <c r="K12" s="18"/>
    </row>
    <row r="13" spans="1:11" x14ac:dyDescent="0.25">
      <c r="A13" s="10">
        <f t="shared" si="0"/>
        <v>12</v>
      </c>
      <c r="B13" s="15" t="s">
        <v>128</v>
      </c>
      <c r="C13" s="11">
        <v>99193880</v>
      </c>
      <c r="D13" s="10" t="s">
        <v>125</v>
      </c>
      <c r="E13" s="19" t="s">
        <v>94</v>
      </c>
      <c r="F13" s="15"/>
      <c r="G13" s="15"/>
      <c r="H13" s="19"/>
      <c r="I13" s="19"/>
      <c r="J13" s="19"/>
      <c r="K13" s="18"/>
    </row>
    <row r="14" spans="1:11" x14ac:dyDescent="0.25">
      <c r="A14" s="10">
        <f t="shared" si="0"/>
        <v>13</v>
      </c>
      <c r="B14" s="15" t="s">
        <v>132</v>
      </c>
      <c r="C14" s="11"/>
      <c r="D14" s="10" t="s">
        <v>125</v>
      </c>
      <c r="E14" s="19" t="s">
        <v>94</v>
      </c>
      <c r="F14" s="15"/>
      <c r="G14" s="15"/>
      <c r="H14" s="19"/>
      <c r="I14" s="19"/>
      <c r="J14" s="19"/>
      <c r="K14" s="18"/>
    </row>
    <row r="15" spans="1:11" x14ac:dyDescent="0.25">
      <c r="A15" s="10">
        <f t="shared" si="0"/>
        <v>14</v>
      </c>
      <c r="B15" s="15" t="s">
        <v>185</v>
      </c>
      <c r="C15" s="11"/>
      <c r="D15" s="10" t="s">
        <v>125</v>
      </c>
      <c r="E15" s="19" t="s">
        <v>90</v>
      </c>
      <c r="F15" s="13">
        <v>50000</v>
      </c>
      <c r="G15" s="17">
        <v>45910</v>
      </c>
      <c r="H15" s="19" t="s">
        <v>111</v>
      </c>
      <c r="I15" s="20" t="s">
        <v>118</v>
      </c>
      <c r="J15" s="21">
        <v>5163731656</v>
      </c>
      <c r="K15" s="18"/>
    </row>
    <row r="16" spans="1:11" x14ac:dyDescent="0.25">
      <c r="A16" s="10">
        <f t="shared" si="0"/>
        <v>15</v>
      </c>
      <c r="B16" s="15" t="s">
        <v>145</v>
      </c>
      <c r="C16" s="11">
        <v>95094838</v>
      </c>
      <c r="D16" s="10" t="s">
        <v>125</v>
      </c>
      <c r="E16" s="19" t="s">
        <v>90</v>
      </c>
      <c r="F16" s="13">
        <v>50000</v>
      </c>
      <c r="G16" s="17">
        <v>45969</v>
      </c>
      <c r="H16" s="19" t="s">
        <v>112</v>
      </c>
      <c r="I16" s="15"/>
      <c r="J16" s="16"/>
      <c r="K16" s="18"/>
    </row>
    <row r="17" spans="1:11" x14ac:dyDescent="0.25">
      <c r="A17" s="10">
        <f t="shared" ref="A17:A62" si="1">A16+1</f>
        <v>16</v>
      </c>
      <c r="B17" s="15" t="s">
        <v>156</v>
      </c>
      <c r="C17" s="11"/>
      <c r="D17" s="10" t="s">
        <v>125</v>
      </c>
      <c r="E17" s="85" t="s">
        <v>90</v>
      </c>
      <c r="F17" s="94">
        <v>50000</v>
      </c>
      <c r="G17" s="95">
        <v>45966</v>
      </c>
      <c r="H17" s="19"/>
      <c r="I17" s="19"/>
      <c r="J17" s="19"/>
      <c r="K17" s="18"/>
    </row>
    <row r="18" spans="1:11" x14ac:dyDescent="0.25">
      <c r="A18" s="10">
        <f t="shared" si="1"/>
        <v>17</v>
      </c>
      <c r="B18" s="15" t="s">
        <v>136</v>
      </c>
      <c r="C18" s="11">
        <v>99977545</v>
      </c>
      <c r="D18" s="10" t="s">
        <v>125</v>
      </c>
      <c r="E18" s="19" t="s">
        <v>90</v>
      </c>
      <c r="F18" s="13">
        <v>50000</v>
      </c>
      <c r="G18" s="17">
        <v>45969</v>
      </c>
      <c r="H18" s="19" t="s">
        <v>111</v>
      </c>
      <c r="I18" s="20" t="s">
        <v>117</v>
      </c>
      <c r="J18" s="21">
        <v>5209009001</v>
      </c>
      <c r="K18" s="18"/>
    </row>
    <row r="19" spans="1:11" x14ac:dyDescent="0.25">
      <c r="A19" s="10">
        <f t="shared" si="1"/>
        <v>18</v>
      </c>
      <c r="B19" s="15" t="s">
        <v>144</v>
      </c>
      <c r="C19" s="11">
        <v>88089364</v>
      </c>
      <c r="D19" s="10" t="s">
        <v>125</v>
      </c>
      <c r="E19" s="19" t="s">
        <v>94</v>
      </c>
      <c r="F19" s="15"/>
      <c r="G19" s="17"/>
      <c r="H19" s="19"/>
      <c r="I19" s="19"/>
      <c r="J19" s="19"/>
      <c r="K19" s="18"/>
    </row>
    <row r="20" spans="1:11" x14ac:dyDescent="0.25">
      <c r="A20" s="10">
        <f t="shared" si="1"/>
        <v>19</v>
      </c>
      <c r="B20" s="15" t="s">
        <v>143</v>
      </c>
      <c r="C20" s="11">
        <v>99173366</v>
      </c>
      <c r="D20" s="10" t="s">
        <v>125</v>
      </c>
      <c r="E20" s="19" t="s">
        <v>90</v>
      </c>
      <c r="F20" s="13">
        <v>50000</v>
      </c>
      <c r="G20" s="17">
        <v>45966</v>
      </c>
      <c r="H20" s="19" t="s">
        <v>112</v>
      </c>
      <c r="I20" s="19"/>
      <c r="J20" s="19"/>
      <c r="K20" s="18"/>
    </row>
    <row r="21" spans="1:11" x14ac:dyDescent="0.25">
      <c r="A21" s="10">
        <f t="shared" si="1"/>
        <v>20</v>
      </c>
      <c r="B21" s="15" t="s">
        <v>175</v>
      </c>
      <c r="C21" s="11">
        <v>99899363</v>
      </c>
      <c r="D21" s="10" t="s">
        <v>125</v>
      </c>
      <c r="E21" s="19" t="s">
        <v>90</v>
      </c>
      <c r="F21" s="13">
        <v>50000</v>
      </c>
      <c r="G21" s="17">
        <v>45962</v>
      </c>
      <c r="H21" s="19" t="s">
        <v>111</v>
      </c>
      <c r="I21" s="20" t="s">
        <v>117</v>
      </c>
      <c r="J21" s="21">
        <v>5209009001</v>
      </c>
      <c r="K21" s="18"/>
    </row>
    <row r="22" spans="1:11" x14ac:dyDescent="0.25">
      <c r="A22" s="10">
        <f t="shared" si="1"/>
        <v>21</v>
      </c>
      <c r="B22" s="15" t="s">
        <v>181</v>
      </c>
      <c r="C22" s="11">
        <v>96066973</v>
      </c>
      <c r="D22" s="10" t="s">
        <v>125</v>
      </c>
      <c r="E22" s="19" t="s">
        <v>90</v>
      </c>
      <c r="F22" s="13">
        <v>50000</v>
      </c>
      <c r="G22" s="17">
        <v>45966</v>
      </c>
      <c r="H22" s="19" t="s">
        <v>111</v>
      </c>
      <c r="I22" s="20" t="s">
        <v>118</v>
      </c>
      <c r="J22" s="21">
        <v>5163731642</v>
      </c>
      <c r="K22" s="18"/>
    </row>
    <row r="23" spans="1:11" x14ac:dyDescent="0.25">
      <c r="A23" s="10">
        <f t="shared" si="1"/>
        <v>22</v>
      </c>
      <c r="B23" s="15" t="s">
        <v>192</v>
      </c>
      <c r="C23" s="11">
        <v>99659918</v>
      </c>
      <c r="D23" s="10" t="s">
        <v>125</v>
      </c>
      <c r="E23" s="19" t="s">
        <v>90</v>
      </c>
      <c r="F23" s="13">
        <v>50000</v>
      </c>
      <c r="G23" s="17">
        <v>45962</v>
      </c>
      <c r="H23" s="19" t="s">
        <v>112</v>
      </c>
      <c r="I23" s="19"/>
      <c r="J23" s="19"/>
      <c r="K23" s="18"/>
    </row>
    <row r="24" spans="1:11" x14ac:dyDescent="0.25">
      <c r="A24" s="10">
        <f t="shared" si="1"/>
        <v>23</v>
      </c>
      <c r="B24" s="15" t="s">
        <v>126</v>
      </c>
      <c r="C24" s="11">
        <v>93138080</v>
      </c>
      <c r="D24" s="10" t="s">
        <v>125</v>
      </c>
      <c r="E24" s="19" t="s">
        <v>94</v>
      </c>
      <c r="F24" s="15"/>
      <c r="G24" s="17"/>
      <c r="H24" s="19"/>
      <c r="I24" s="19"/>
      <c r="J24" s="19"/>
      <c r="K24" s="18"/>
    </row>
    <row r="25" spans="1:11" x14ac:dyDescent="0.25">
      <c r="A25" s="10">
        <f t="shared" si="1"/>
        <v>24</v>
      </c>
      <c r="B25" s="15" t="s">
        <v>133</v>
      </c>
      <c r="C25" s="11"/>
      <c r="D25" s="10" t="s">
        <v>125</v>
      </c>
      <c r="E25" s="19" t="s">
        <v>94</v>
      </c>
      <c r="F25" s="15"/>
      <c r="G25" s="15"/>
      <c r="H25" s="19"/>
      <c r="I25" s="19"/>
      <c r="J25" s="19"/>
      <c r="K25" s="18"/>
    </row>
    <row r="26" spans="1:11" x14ac:dyDescent="0.25">
      <c r="A26" s="10">
        <f t="shared" si="1"/>
        <v>25</v>
      </c>
      <c r="B26" s="15" t="s">
        <v>141</v>
      </c>
      <c r="C26" s="11">
        <v>99938382</v>
      </c>
      <c r="D26" s="10" t="s">
        <v>125</v>
      </c>
      <c r="E26" s="19" t="s">
        <v>90</v>
      </c>
      <c r="F26" s="13">
        <v>50000</v>
      </c>
      <c r="G26" s="17">
        <v>45966</v>
      </c>
      <c r="H26" s="19" t="s">
        <v>112</v>
      </c>
      <c r="I26" s="19"/>
      <c r="J26" s="19"/>
      <c r="K26" s="18"/>
    </row>
    <row r="27" spans="1:11" x14ac:dyDescent="0.25">
      <c r="A27" s="10">
        <f t="shared" si="1"/>
        <v>26</v>
      </c>
      <c r="B27" s="15" t="s">
        <v>182</v>
      </c>
      <c r="C27" s="11">
        <v>80160893</v>
      </c>
      <c r="D27" s="10" t="s">
        <v>125</v>
      </c>
      <c r="E27" s="19" t="s">
        <v>90</v>
      </c>
      <c r="F27" s="13">
        <v>50000</v>
      </c>
      <c r="G27" s="17">
        <v>45969</v>
      </c>
      <c r="H27" s="19" t="s">
        <v>111</v>
      </c>
      <c r="I27" s="20" t="s">
        <v>117</v>
      </c>
      <c r="J27" s="21">
        <v>5209009001</v>
      </c>
      <c r="K27" s="18"/>
    </row>
    <row r="28" spans="1:11" x14ac:dyDescent="0.25">
      <c r="A28" s="10">
        <f t="shared" si="1"/>
        <v>27</v>
      </c>
      <c r="B28" s="15" t="s">
        <v>171</v>
      </c>
      <c r="C28" s="11"/>
      <c r="D28" s="10" t="s">
        <v>125</v>
      </c>
      <c r="E28" s="19" t="s">
        <v>90</v>
      </c>
      <c r="F28" s="13">
        <v>50000</v>
      </c>
      <c r="G28" s="17">
        <v>45973</v>
      </c>
      <c r="H28" s="19" t="s">
        <v>111</v>
      </c>
      <c r="I28" s="20" t="s">
        <v>118</v>
      </c>
      <c r="J28" s="21">
        <v>5163731642</v>
      </c>
      <c r="K28" s="18"/>
    </row>
    <row r="29" spans="1:11" x14ac:dyDescent="0.25">
      <c r="A29" s="10">
        <f t="shared" si="1"/>
        <v>28</v>
      </c>
      <c r="B29" s="15" t="s">
        <v>184</v>
      </c>
      <c r="C29" s="11">
        <v>94588000</v>
      </c>
      <c r="D29" s="10" t="s">
        <v>125</v>
      </c>
      <c r="E29" s="19" t="s">
        <v>94</v>
      </c>
      <c r="F29" s="15"/>
      <c r="G29" s="17"/>
      <c r="H29" s="19"/>
      <c r="I29" s="19"/>
      <c r="J29" s="19"/>
      <c r="K29" s="18"/>
    </row>
    <row r="30" spans="1:11" x14ac:dyDescent="0.25">
      <c r="A30" s="10">
        <f t="shared" si="1"/>
        <v>29</v>
      </c>
      <c r="B30" s="15" t="s">
        <v>153</v>
      </c>
      <c r="C30" s="11">
        <v>89659199</v>
      </c>
      <c r="D30" s="10" t="s">
        <v>125</v>
      </c>
      <c r="E30" s="19" t="s">
        <v>94</v>
      </c>
      <c r="F30" s="15"/>
      <c r="G30" s="17"/>
      <c r="H30" s="19"/>
      <c r="I30" s="19"/>
      <c r="J30" s="19"/>
      <c r="K30" s="18"/>
    </row>
    <row r="31" spans="1:11" x14ac:dyDescent="0.25">
      <c r="A31" s="10">
        <f t="shared" si="1"/>
        <v>30</v>
      </c>
      <c r="B31" s="15" t="s">
        <v>183</v>
      </c>
      <c r="C31" s="11">
        <v>99008785</v>
      </c>
      <c r="D31" s="10" t="s">
        <v>125</v>
      </c>
      <c r="E31" s="19" t="s">
        <v>90</v>
      </c>
      <c r="F31" s="13">
        <v>50000</v>
      </c>
      <c r="G31" s="17">
        <v>45983</v>
      </c>
      <c r="H31" s="19" t="s">
        <v>111</v>
      </c>
      <c r="I31" s="20" t="s">
        <v>118</v>
      </c>
      <c r="J31" s="21">
        <v>5163731642</v>
      </c>
      <c r="K31" s="18"/>
    </row>
    <row r="32" spans="1:11" x14ac:dyDescent="0.25">
      <c r="A32" s="10">
        <f t="shared" si="1"/>
        <v>31</v>
      </c>
      <c r="B32" s="15" t="s">
        <v>174</v>
      </c>
      <c r="C32" s="11">
        <v>95402113</v>
      </c>
      <c r="D32" s="10" t="s">
        <v>125</v>
      </c>
      <c r="E32" s="19" t="s">
        <v>90</v>
      </c>
      <c r="F32" s="13">
        <v>50000</v>
      </c>
      <c r="G32" s="17">
        <v>45962</v>
      </c>
      <c r="H32" s="19" t="s">
        <v>111</v>
      </c>
      <c r="I32" s="20" t="s">
        <v>117</v>
      </c>
      <c r="J32" s="21">
        <v>5209009001</v>
      </c>
      <c r="K32" s="18"/>
    </row>
    <row r="33" spans="1:11" x14ac:dyDescent="0.25">
      <c r="A33" s="10">
        <f t="shared" si="1"/>
        <v>32</v>
      </c>
      <c r="B33" s="15" t="s">
        <v>137</v>
      </c>
      <c r="C33" s="11">
        <v>94071191</v>
      </c>
      <c r="D33" s="10" t="s">
        <v>125</v>
      </c>
      <c r="E33" s="19" t="s">
        <v>90</v>
      </c>
      <c r="F33" s="13">
        <v>50000</v>
      </c>
      <c r="G33" s="17">
        <v>45973</v>
      </c>
      <c r="H33" s="19" t="s">
        <v>112</v>
      </c>
      <c r="I33" s="19"/>
      <c r="J33" s="19"/>
      <c r="K33" s="18"/>
    </row>
    <row r="34" spans="1:11" x14ac:dyDescent="0.25">
      <c r="A34" s="10">
        <f t="shared" si="1"/>
        <v>33</v>
      </c>
      <c r="B34" s="15" t="s">
        <v>146</v>
      </c>
      <c r="C34" s="11">
        <v>91242277</v>
      </c>
      <c r="D34" s="10" t="s">
        <v>125</v>
      </c>
      <c r="E34" s="19" t="s">
        <v>90</v>
      </c>
      <c r="F34" s="13">
        <v>50000</v>
      </c>
      <c r="G34" s="17">
        <v>45983</v>
      </c>
      <c r="H34" s="19" t="s">
        <v>111</v>
      </c>
      <c r="I34" s="20" t="s">
        <v>118</v>
      </c>
      <c r="J34" s="21">
        <v>5163731642</v>
      </c>
      <c r="K34" s="18"/>
    </row>
    <row r="35" spans="1:11" x14ac:dyDescent="0.25">
      <c r="A35" s="10">
        <f t="shared" si="1"/>
        <v>34</v>
      </c>
      <c r="B35" s="15" t="s">
        <v>138</v>
      </c>
      <c r="C35" s="11">
        <v>99173366</v>
      </c>
      <c r="D35" s="10" t="s">
        <v>125</v>
      </c>
      <c r="E35" s="19" t="s">
        <v>94</v>
      </c>
      <c r="F35" s="15"/>
      <c r="G35" s="17"/>
      <c r="H35" s="19"/>
      <c r="I35" s="19"/>
      <c r="J35" s="19"/>
      <c r="K35" s="18"/>
    </row>
    <row r="36" spans="1:11" x14ac:dyDescent="0.25">
      <c r="A36" s="10">
        <f t="shared" si="1"/>
        <v>35</v>
      </c>
      <c r="B36" s="15" t="s">
        <v>124</v>
      </c>
      <c r="C36" s="11">
        <v>91226048</v>
      </c>
      <c r="D36" s="10" t="s">
        <v>125</v>
      </c>
      <c r="E36" s="19" t="s">
        <v>90</v>
      </c>
      <c r="F36" s="13">
        <v>0</v>
      </c>
      <c r="G36" s="17">
        <v>45906</v>
      </c>
      <c r="H36" s="19" t="s">
        <v>111</v>
      </c>
      <c r="I36" s="20" t="s">
        <v>118</v>
      </c>
      <c r="J36" s="21">
        <v>5163731642</v>
      </c>
      <c r="K36" s="18"/>
    </row>
    <row r="37" spans="1:11" x14ac:dyDescent="0.25">
      <c r="A37" s="10">
        <f t="shared" si="1"/>
        <v>36</v>
      </c>
      <c r="B37" s="15" t="s">
        <v>179</v>
      </c>
      <c r="C37" s="11">
        <v>90130872</v>
      </c>
      <c r="D37" s="10" t="s">
        <v>125</v>
      </c>
      <c r="E37" s="19" t="s">
        <v>90</v>
      </c>
      <c r="F37" s="13">
        <v>50000</v>
      </c>
      <c r="G37" s="17">
        <v>45975</v>
      </c>
      <c r="H37" s="19" t="s">
        <v>111</v>
      </c>
      <c r="I37" s="20" t="s">
        <v>118</v>
      </c>
      <c r="J37" s="21">
        <v>5163731642</v>
      </c>
      <c r="K37" s="18"/>
    </row>
    <row r="38" spans="1:11" x14ac:dyDescent="0.25">
      <c r="A38" s="10">
        <f t="shared" si="1"/>
        <v>37</v>
      </c>
      <c r="B38" s="15" t="s">
        <v>188</v>
      </c>
      <c r="C38" s="11">
        <v>99034414</v>
      </c>
      <c r="D38" s="10" t="s">
        <v>125</v>
      </c>
      <c r="E38" s="19" t="s">
        <v>90</v>
      </c>
      <c r="F38" s="13">
        <v>50000</v>
      </c>
      <c r="G38" s="17">
        <v>45969</v>
      </c>
      <c r="H38" s="19" t="s">
        <v>111</v>
      </c>
      <c r="I38" s="20" t="s">
        <v>117</v>
      </c>
      <c r="J38" s="21">
        <v>5209009001</v>
      </c>
      <c r="K38" s="18"/>
    </row>
    <row r="39" spans="1:11" x14ac:dyDescent="0.25">
      <c r="A39" s="10">
        <f t="shared" si="1"/>
        <v>38</v>
      </c>
      <c r="B39" s="15" t="s">
        <v>191</v>
      </c>
      <c r="C39" s="11">
        <v>99229898</v>
      </c>
      <c r="D39" s="10" t="s">
        <v>125</v>
      </c>
      <c r="E39" s="19" t="s">
        <v>90</v>
      </c>
      <c r="F39" s="13">
        <v>50000</v>
      </c>
      <c r="G39" s="17">
        <v>45973</v>
      </c>
      <c r="H39" s="19" t="s">
        <v>112</v>
      </c>
      <c r="I39" s="20"/>
      <c r="J39" s="21"/>
      <c r="K39" s="18"/>
    </row>
    <row r="40" spans="1:11" x14ac:dyDescent="0.25">
      <c r="A40" s="10">
        <f t="shared" si="1"/>
        <v>39</v>
      </c>
      <c r="B40" s="32" t="s">
        <v>149</v>
      </c>
      <c r="C40" s="11">
        <v>99835959</v>
      </c>
      <c r="D40" s="10" t="s">
        <v>125</v>
      </c>
      <c r="E40" s="19" t="s">
        <v>90</v>
      </c>
      <c r="F40" s="13">
        <v>50000</v>
      </c>
      <c r="G40" s="17">
        <v>45969</v>
      </c>
      <c r="H40" s="19" t="s">
        <v>111</v>
      </c>
      <c r="I40" s="20" t="s">
        <v>117</v>
      </c>
      <c r="J40" s="21">
        <v>5209009001</v>
      </c>
      <c r="K40" s="18"/>
    </row>
    <row r="41" spans="1:11" x14ac:dyDescent="0.25">
      <c r="A41" s="10">
        <f t="shared" si="1"/>
        <v>40</v>
      </c>
      <c r="B41" s="15" t="s">
        <v>178</v>
      </c>
      <c r="C41" s="11">
        <v>91993928</v>
      </c>
      <c r="D41" s="10" t="s">
        <v>125</v>
      </c>
      <c r="E41" s="19" t="s">
        <v>90</v>
      </c>
      <c r="F41" s="13">
        <v>50000</v>
      </c>
      <c r="G41" s="17">
        <v>45966</v>
      </c>
      <c r="H41" s="19" t="s">
        <v>111</v>
      </c>
      <c r="I41" s="20" t="s">
        <v>117</v>
      </c>
      <c r="J41" s="21">
        <v>5209009001</v>
      </c>
      <c r="K41" s="18"/>
    </row>
    <row r="42" spans="1:11" x14ac:dyDescent="0.25">
      <c r="A42" s="10">
        <f t="shared" si="1"/>
        <v>41</v>
      </c>
      <c r="B42" s="15" t="s">
        <v>170</v>
      </c>
      <c r="C42" s="11">
        <v>88107747</v>
      </c>
      <c r="D42" s="10" t="s">
        <v>125</v>
      </c>
      <c r="E42" s="19" t="s">
        <v>90</v>
      </c>
      <c r="F42" s="13">
        <v>50000</v>
      </c>
      <c r="G42" s="17">
        <v>45962</v>
      </c>
      <c r="H42" s="19" t="s">
        <v>111</v>
      </c>
      <c r="I42" s="20" t="s">
        <v>118</v>
      </c>
      <c r="J42" s="21">
        <v>5163731642</v>
      </c>
      <c r="K42" s="18"/>
    </row>
    <row r="43" spans="1:11" x14ac:dyDescent="0.25">
      <c r="A43" s="10">
        <f t="shared" si="1"/>
        <v>42</v>
      </c>
      <c r="B43" s="15" t="s">
        <v>130</v>
      </c>
      <c r="C43" s="11">
        <v>80808550</v>
      </c>
      <c r="D43" s="10" t="s">
        <v>125</v>
      </c>
      <c r="E43" s="19" t="s">
        <v>90</v>
      </c>
      <c r="F43" s="13">
        <v>50000</v>
      </c>
      <c r="G43" s="17">
        <v>45962</v>
      </c>
      <c r="H43" s="19" t="s">
        <v>111</v>
      </c>
      <c r="I43" s="20" t="s">
        <v>117</v>
      </c>
      <c r="J43" s="21">
        <v>5209009001</v>
      </c>
      <c r="K43" s="18"/>
    </row>
    <row r="44" spans="1:11" x14ac:dyDescent="0.25">
      <c r="A44" s="10">
        <f t="shared" si="1"/>
        <v>43</v>
      </c>
      <c r="B44" s="15" t="s">
        <v>150</v>
      </c>
      <c r="C44" s="11"/>
      <c r="D44" s="10" t="s">
        <v>125</v>
      </c>
      <c r="E44" s="19" t="s">
        <v>94</v>
      </c>
      <c r="F44" s="15"/>
      <c r="G44" s="15"/>
      <c r="H44" s="19"/>
      <c r="I44" s="19"/>
      <c r="J44" s="19"/>
      <c r="K44" s="18"/>
    </row>
    <row r="45" spans="1:11" x14ac:dyDescent="0.25">
      <c r="A45" s="10">
        <f t="shared" si="1"/>
        <v>44</v>
      </c>
      <c r="B45" s="15" t="s">
        <v>166</v>
      </c>
      <c r="C45" s="11"/>
      <c r="D45" s="10" t="s">
        <v>125</v>
      </c>
      <c r="E45" s="19" t="s">
        <v>90</v>
      </c>
      <c r="F45" s="13">
        <v>50000</v>
      </c>
      <c r="G45" s="17">
        <v>45966</v>
      </c>
      <c r="H45" s="19" t="s">
        <v>111</v>
      </c>
      <c r="I45" s="20" t="s">
        <v>117</v>
      </c>
      <c r="J45" s="21">
        <v>5209009001</v>
      </c>
      <c r="K45" s="18"/>
    </row>
    <row r="46" spans="1:11" x14ac:dyDescent="0.25">
      <c r="A46" s="10">
        <f t="shared" si="1"/>
        <v>45</v>
      </c>
      <c r="B46" s="15" t="s">
        <v>172</v>
      </c>
      <c r="C46" s="11">
        <v>99152220</v>
      </c>
      <c r="D46" s="10" t="s">
        <v>125</v>
      </c>
      <c r="E46" s="19" t="s">
        <v>90</v>
      </c>
      <c r="F46" s="13">
        <v>50000</v>
      </c>
      <c r="G46" s="17">
        <v>45962</v>
      </c>
      <c r="H46" s="19" t="s">
        <v>111</v>
      </c>
      <c r="I46" s="20" t="s">
        <v>118</v>
      </c>
      <c r="J46" s="21">
        <v>5163731642</v>
      </c>
      <c r="K46" s="18"/>
    </row>
    <row r="47" spans="1:11" x14ac:dyDescent="0.25">
      <c r="A47" s="10">
        <f t="shared" si="1"/>
        <v>46</v>
      </c>
      <c r="B47" s="15" t="s">
        <v>165</v>
      </c>
      <c r="C47" s="11">
        <v>99830806</v>
      </c>
      <c r="D47" s="10" t="s">
        <v>125</v>
      </c>
      <c r="E47" s="19" t="s">
        <v>90</v>
      </c>
      <c r="F47" s="13">
        <v>0</v>
      </c>
      <c r="G47" s="17">
        <v>45903</v>
      </c>
      <c r="H47" s="19" t="s">
        <v>111</v>
      </c>
      <c r="I47" s="20" t="s">
        <v>118</v>
      </c>
      <c r="J47" s="16">
        <v>5027586600</v>
      </c>
      <c r="K47" s="18" t="s">
        <v>162</v>
      </c>
    </row>
    <row r="48" spans="1:11" x14ac:dyDescent="0.25">
      <c r="A48" s="10">
        <f t="shared" si="1"/>
        <v>47</v>
      </c>
      <c r="B48" s="15" t="s">
        <v>194</v>
      </c>
      <c r="C48" s="11">
        <v>94684289</v>
      </c>
      <c r="D48" s="10" t="s">
        <v>125</v>
      </c>
      <c r="E48" s="85" t="s">
        <v>90</v>
      </c>
      <c r="F48" s="82">
        <v>50000</v>
      </c>
      <c r="G48" s="86">
        <v>45966</v>
      </c>
      <c r="H48" s="85" t="s">
        <v>111</v>
      </c>
      <c r="I48" s="84"/>
      <c r="J48" s="16"/>
      <c r="K48" s="18"/>
    </row>
    <row r="49" spans="1:11" x14ac:dyDescent="0.25">
      <c r="A49" s="10">
        <f t="shared" si="1"/>
        <v>48</v>
      </c>
      <c r="B49" s="15" t="s">
        <v>135</v>
      </c>
      <c r="C49" s="11">
        <v>99923928</v>
      </c>
      <c r="D49" s="10" t="s">
        <v>125</v>
      </c>
      <c r="E49" s="85" t="s">
        <v>90</v>
      </c>
      <c r="F49" s="82">
        <v>50000</v>
      </c>
      <c r="G49" s="86">
        <v>45973</v>
      </c>
      <c r="H49" s="85" t="s">
        <v>111</v>
      </c>
      <c r="I49" s="84" t="s">
        <v>118</v>
      </c>
      <c r="J49" s="19"/>
      <c r="K49" s="18"/>
    </row>
    <row r="50" spans="1:11" x14ac:dyDescent="0.25">
      <c r="A50" s="10">
        <f t="shared" si="1"/>
        <v>49</v>
      </c>
      <c r="B50" s="15" t="s">
        <v>151</v>
      </c>
      <c r="C50" s="11">
        <v>99280890</v>
      </c>
      <c r="D50" s="10" t="s">
        <v>125</v>
      </c>
      <c r="E50" s="19" t="s">
        <v>90</v>
      </c>
      <c r="F50" s="13">
        <v>50000</v>
      </c>
      <c r="G50" s="17">
        <v>45973</v>
      </c>
      <c r="H50" s="19" t="s">
        <v>111</v>
      </c>
      <c r="I50" s="20" t="s">
        <v>118</v>
      </c>
      <c r="J50" s="21">
        <v>5163731642</v>
      </c>
      <c r="K50" s="18"/>
    </row>
    <row r="51" spans="1:11" x14ac:dyDescent="0.25">
      <c r="A51" s="10">
        <f t="shared" si="1"/>
        <v>50</v>
      </c>
      <c r="B51" s="15" t="s">
        <v>154</v>
      </c>
      <c r="C51" s="11">
        <v>80699359</v>
      </c>
      <c r="D51" s="10" t="s">
        <v>125</v>
      </c>
      <c r="E51" s="19" t="s">
        <v>94</v>
      </c>
      <c r="F51" s="15"/>
      <c r="G51" s="17"/>
      <c r="H51" s="19"/>
      <c r="I51" s="19"/>
      <c r="J51" s="19"/>
      <c r="K51" s="18"/>
    </row>
    <row r="52" spans="1:11" x14ac:dyDescent="0.25">
      <c r="A52" s="10">
        <f t="shared" si="1"/>
        <v>51</v>
      </c>
      <c r="B52" s="15" t="s">
        <v>148</v>
      </c>
      <c r="C52" s="11"/>
      <c r="D52" s="10" t="s">
        <v>125</v>
      </c>
      <c r="E52" s="19" t="s">
        <v>94</v>
      </c>
      <c r="F52" s="15"/>
      <c r="G52" s="15"/>
      <c r="H52" s="19"/>
      <c r="I52" s="19"/>
      <c r="J52" s="19"/>
      <c r="K52" s="18"/>
    </row>
    <row r="53" spans="1:11" x14ac:dyDescent="0.25">
      <c r="A53" s="10">
        <f t="shared" si="1"/>
        <v>52</v>
      </c>
      <c r="B53" s="15" t="s">
        <v>142</v>
      </c>
      <c r="C53" s="11"/>
      <c r="D53" s="10" t="s">
        <v>125</v>
      </c>
      <c r="E53" s="19" t="s">
        <v>94</v>
      </c>
      <c r="F53" s="15"/>
      <c r="G53" s="15"/>
      <c r="H53" s="19"/>
      <c r="I53" s="19"/>
      <c r="J53" s="19"/>
      <c r="K53" s="18"/>
    </row>
    <row r="54" spans="1:11" x14ac:dyDescent="0.25">
      <c r="A54" s="10">
        <f t="shared" si="1"/>
        <v>53</v>
      </c>
      <c r="B54" s="15" t="s">
        <v>169</v>
      </c>
      <c r="C54" s="11"/>
      <c r="D54" s="10" t="s">
        <v>125</v>
      </c>
      <c r="E54" s="19" t="s">
        <v>94</v>
      </c>
      <c r="F54" s="15"/>
      <c r="G54" s="15"/>
      <c r="H54" s="19"/>
      <c r="I54" s="19"/>
      <c r="J54" s="19"/>
      <c r="K54" s="18"/>
    </row>
    <row r="55" spans="1:11" x14ac:dyDescent="0.25">
      <c r="A55" s="10">
        <f t="shared" si="1"/>
        <v>54</v>
      </c>
      <c r="B55" s="15" t="s">
        <v>140</v>
      </c>
      <c r="C55" s="11">
        <v>96646978</v>
      </c>
      <c r="D55" s="10" t="s">
        <v>125</v>
      </c>
      <c r="E55" s="19" t="s">
        <v>94</v>
      </c>
      <c r="F55" s="15"/>
      <c r="G55" s="17"/>
      <c r="H55" s="19"/>
      <c r="I55" s="19"/>
      <c r="J55" s="19"/>
      <c r="K55" s="18"/>
    </row>
    <row r="56" spans="1:11" x14ac:dyDescent="0.25">
      <c r="A56" s="10">
        <f t="shared" si="1"/>
        <v>55</v>
      </c>
      <c r="B56" s="15" t="s">
        <v>127</v>
      </c>
      <c r="C56" s="11"/>
      <c r="D56" s="10" t="s">
        <v>125</v>
      </c>
      <c r="E56" s="19" t="s">
        <v>90</v>
      </c>
      <c r="F56" s="13">
        <v>50000</v>
      </c>
      <c r="G56" s="17">
        <v>45969</v>
      </c>
      <c r="H56" s="19" t="s">
        <v>111</v>
      </c>
      <c r="I56" s="20" t="s">
        <v>117</v>
      </c>
      <c r="J56" s="21">
        <v>5209009001</v>
      </c>
      <c r="K56" s="18"/>
    </row>
    <row r="57" spans="1:11" x14ac:dyDescent="0.25">
      <c r="A57" s="10">
        <f t="shared" si="1"/>
        <v>56</v>
      </c>
      <c r="B57" s="15" t="s">
        <v>176</v>
      </c>
      <c r="C57" s="15">
        <v>99271599</v>
      </c>
      <c r="D57" s="16" t="s">
        <v>125</v>
      </c>
      <c r="E57" s="19" t="s">
        <v>90</v>
      </c>
      <c r="F57" s="13">
        <v>50000</v>
      </c>
      <c r="G57" s="17">
        <v>45962</v>
      </c>
      <c r="H57" s="19" t="s">
        <v>112</v>
      </c>
      <c r="I57" s="19"/>
      <c r="J57" s="19"/>
      <c r="K57" s="18"/>
    </row>
    <row r="58" spans="1:11" x14ac:dyDescent="0.25">
      <c r="A58" s="10">
        <f t="shared" si="1"/>
        <v>57</v>
      </c>
      <c r="B58" s="15" t="s">
        <v>152</v>
      </c>
      <c r="C58" s="11">
        <v>99067726</v>
      </c>
      <c r="D58" s="10" t="s">
        <v>125</v>
      </c>
      <c r="E58" s="19" t="s">
        <v>94</v>
      </c>
      <c r="F58" s="15"/>
      <c r="G58" s="17"/>
      <c r="H58" s="19"/>
      <c r="I58" s="19"/>
      <c r="J58" s="19"/>
      <c r="K58" s="18"/>
    </row>
    <row r="59" spans="1:11" x14ac:dyDescent="0.25">
      <c r="A59" s="10">
        <f t="shared" si="1"/>
        <v>58</v>
      </c>
      <c r="B59" s="15" t="s">
        <v>173</v>
      </c>
      <c r="C59" s="11"/>
      <c r="D59" s="10" t="s">
        <v>125</v>
      </c>
      <c r="E59" s="19" t="s">
        <v>90</v>
      </c>
      <c r="F59" s="13">
        <v>50000</v>
      </c>
      <c r="G59" s="17">
        <v>45962</v>
      </c>
      <c r="H59" s="19" t="s">
        <v>111</v>
      </c>
      <c r="I59" s="20" t="s">
        <v>117</v>
      </c>
      <c r="J59" s="21">
        <v>5209009001</v>
      </c>
      <c r="K59" s="18"/>
    </row>
    <row r="60" spans="1:11" x14ac:dyDescent="0.25">
      <c r="A60" s="10">
        <f t="shared" si="1"/>
        <v>59</v>
      </c>
      <c r="B60" s="15" t="s">
        <v>190</v>
      </c>
      <c r="C60" s="11"/>
      <c r="D60" s="10" t="s">
        <v>125</v>
      </c>
      <c r="E60" s="19" t="s">
        <v>90</v>
      </c>
      <c r="F60" s="13">
        <v>50000</v>
      </c>
      <c r="G60" s="17">
        <v>45966</v>
      </c>
      <c r="H60" s="19" t="s">
        <v>111</v>
      </c>
      <c r="I60" s="20" t="s">
        <v>118</v>
      </c>
      <c r="J60" s="21">
        <v>5163731642</v>
      </c>
      <c r="K60" s="18"/>
    </row>
    <row r="61" spans="1:11" x14ac:dyDescent="0.25">
      <c r="A61" s="10">
        <f t="shared" si="1"/>
        <v>60</v>
      </c>
      <c r="B61" s="15" t="s">
        <v>187</v>
      </c>
      <c r="C61" s="11"/>
      <c r="D61" s="10" t="s">
        <v>125</v>
      </c>
      <c r="E61" s="85" t="s">
        <v>90</v>
      </c>
      <c r="F61" s="82">
        <v>50000</v>
      </c>
      <c r="G61" s="86">
        <v>45976</v>
      </c>
      <c r="H61" s="85" t="s">
        <v>111</v>
      </c>
      <c r="I61" s="84" t="s">
        <v>118</v>
      </c>
      <c r="J61" s="81">
        <v>5163731642</v>
      </c>
      <c r="K61" s="18"/>
    </row>
    <row r="62" spans="1:11" x14ac:dyDescent="0.25">
      <c r="A62" s="10">
        <f t="shared" si="1"/>
        <v>61</v>
      </c>
      <c r="B62" s="15" t="s">
        <v>139</v>
      </c>
      <c r="C62" s="11">
        <v>89888020</v>
      </c>
      <c r="D62" s="10" t="s">
        <v>125</v>
      </c>
      <c r="E62" s="19" t="s">
        <v>90</v>
      </c>
      <c r="F62" s="13">
        <v>50000</v>
      </c>
      <c r="G62" s="17">
        <v>45966</v>
      </c>
      <c r="H62" s="19" t="s">
        <v>111</v>
      </c>
      <c r="I62" s="20" t="s">
        <v>117</v>
      </c>
      <c r="J62" s="21">
        <v>5209009001</v>
      </c>
      <c r="K62" s="18"/>
    </row>
    <row r="63" spans="1:11" x14ac:dyDescent="0.25">
      <c r="E63" s="52" t="s">
        <v>225</v>
      </c>
      <c r="F63" s="90">
        <f>SUM(F2:F62)</f>
        <v>1900000</v>
      </c>
    </row>
    <row r="64" spans="1:11" x14ac:dyDescent="0.25">
      <c r="E64" s="91" t="s">
        <v>217</v>
      </c>
      <c r="F64" s="93">
        <f>40*50000</f>
        <v>2000000</v>
      </c>
    </row>
    <row r="65" spans="5:7" x14ac:dyDescent="0.25">
      <c r="E65" s="89"/>
      <c r="F65" s="90">
        <f>F64-F63</f>
        <v>100000</v>
      </c>
      <c r="G65" s="90" t="s">
        <v>220</v>
      </c>
    </row>
    <row r="66" spans="5:7" x14ac:dyDescent="0.25">
      <c r="E66" s="89"/>
    </row>
  </sheetData>
  <autoFilter ref="A1:K67" xr:uid="{77AB94CA-6D0D-48F2-8079-4368CB867077}"/>
  <dataValidations count="2">
    <dataValidation type="list" allowBlank="1" showInputMessage="1" showErrorMessage="1" sqref="E61:E62 E2:E58" xr:uid="{72C09870-A4F7-43DC-B502-A5528AA6CBBF}">
      <formula1>"Төлсөн,Төлөөгүй,Тайлбартай,Суугаагүй"</formula1>
    </dataValidation>
    <dataValidation type="list" allowBlank="1" showInputMessage="1" showErrorMessage="1" sqref="I47:I52 I11:I12 I14:I18 I24 I57 I42:I45 I54:I55 I21 I61:I62 I2:I9 I26:I34" xr:uid="{672BCC9F-3222-47E4-8E86-2130A4372696}">
      <formula1>"Хаан,Голомт"</formula1>
    </dataValidation>
  </dataValidation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Анхан шат</vt:lpstr>
      <vt:lpstr>Төлөгдөөгүй мэдээлэл</vt:lpstr>
      <vt:lpstr>Нэгтгэл</vt:lpstr>
      <vt:lpstr>Дунд</vt:lpstr>
      <vt:lpstr>Ахисан шат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2025-11-20T09:51:28Z</dcterms:created>
  <dcterms:modified xsi:type="dcterms:W3CDTF">2025-12-27T08:15:55Z</dcterms:modified>
</cp:coreProperties>
</file>